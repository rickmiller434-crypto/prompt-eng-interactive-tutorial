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Contents" sheetId="2" r:id="rId2"/>
    <sheet name="02 Executive Summary" sheetId="3" r:id="rId3"/>
    <sheet name="03 Estimating Standards" sheetId="4" r:id="rId4"/>
    <sheet name="04 Crew Compositions" sheetId="5" r:id="rId5"/>
    <sheet name="05 Labour Rates" sheetId="6" r:id="rId6"/>
    <sheet name="06 Equipment Rates" sheetId="7" r:id="rId7"/>
    <sheet name="07 Equipment Spreads" sheetId="8" r:id="rId8"/>
    <sheet name="08 SoR Master" sheetId="9" r:id="rId9"/>
    <sheet name="09 Unit Rate Calculator" sheetId="10" r:id="rId10"/>
    <sheet name="10 Bid Screening" sheetId="11" r:id="rId11"/>
    <sheet name="11 Contractor Indirects" sheetId="12" r:id="rId12"/>
    <sheet name="12 Bonding &amp; Insurance" sheetId="13" r:id="rId13"/>
    <sheet name="13 Standby &amp; Schedule" sheetId="14" r:id="rId14"/>
    <sheet name="14 SME Factors" sheetId="15" r:id="rId15"/>
    <sheet name="15 Bid Cost Structure" sheetId="16" r:id="rId16"/>
    <sheet name="16 Mob Demob Logic" sheetId="17" r:id="rId17"/>
    <sheet name="17 Constructability" sheetId="18" r:id="rId18"/>
    <sheet name="18 Inclusions Exclusions" sheetId="19" r:id="rId19"/>
    <sheet name="19 Bid Leveling" sheetId="20" r:id="rId20"/>
    <sheet name="20 Change Order Pricing" sheetId="21" r:id="rId21"/>
    <sheet name="21 Project Roll-Up" sheetId="22" r:id="rId22"/>
    <sheet name="22 Risk Register" sheetId="23" r:id="rId23"/>
    <sheet name="23 Glossary" sheetId="24" r:id="rId24"/>
    <sheet name="24 References" sheetId="25" r:id="rId25"/>
    <sheet name="25 Real Market Benchmark" sheetId="26" r:id="rId26"/>
  </sheets>
  <calcPr calcId="124519" fullCalcOnLoad="1"/>
</workbook>
</file>

<file path=xl/sharedStrings.xml><?xml version="1.0" encoding="utf-8"?>
<sst xmlns="http://schemas.openxmlformats.org/spreadsheetml/2006/main" count="4796" uniqueCount="2473">
  <si>
    <t>RICK MILLER SME STANDARD — CANADA 2026 MINING HEAVY CIVIL ESTIMATING MANUAL &amp; RATE LIBRARY</t>
  </si>
  <si>
    <t>Rev 4 — End-to-End Mining Heavy Civil | Consolidated SoR + Real Market Benchmark Cross-Reference | AACE 18R-97 Class 3 baseline | Canada-wide Q2-2026 | All figures CAD</t>
  </si>
  <si>
    <t>DOCUMENT TITLE</t>
  </si>
  <si>
    <t>Rick Miller SME Standard — Canada 2026 Mining Heavy Civil Estimating Manual &amp; Rate Library</t>
  </si>
  <si>
    <t>DOCUMENT NUMBER</t>
  </si>
  <si>
    <t>RMM-CIVIL-CANADA-2026-MANUAL-REV4</t>
  </si>
  <si>
    <t>REVISION</t>
  </si>
  <si>
    <t>Rev 4 — Full Build-Up Reconciliation + CGL/Builders Risk Lines + Green Audit Highlights</t>
  </si>
  <si>
    <t>PREPARED BY</t>
  </si>
  <si>
    <t>Rick Miller, Senior Project Director / EPCM</t>
  </si>
  <si>
    <t>PURPOSE</t>
  </si>
  <si>
    <t>Provide an internally-maintained, contractor-grade Schedule of Rates and bid-support package for Canadian mining heavy civil projects. Supports budgetary estimates (Class 5/4), feasibility estimates (Class 3), AFE/sanction estimates (Class 2), tender support, contractor benchmarking, bid evaluation, change pricing and unit-rate validation.</t>
  </si>
  <si>
    <t>BASE CURRENCY</t>
  </si>
  <si>
    <t>Canadian Dollar (CAD) | Q2 2026</t>
  </si>
  <si>
    <t>ESTIMATE CLASS — BASIS</t>
  </si>
  <si>
    <t>AACE 18R-97 Class 3 Benchmark (±20% / +30%); Class 2 and Class 1 conversion factors provided in Section 14</t>
  </si>
  <si>
    <t>ESCALATION BASIS</t>
  </si>
  <si>
    <t>Ausenco go-by Q2-2020 escalated x1.25 (BCPI cumulative midpoint) to Q2-2026</t>
  </si>
  <si>
    <t>DIESEL — ATLANTIC</t>
  </si>
  <si>
    <t>$2.13–$2.21 / L (NS ERB May 2026)</t>
  </si>
  <si>
    <t>DIESEL — ALBERTA</t>
  </si>
  <si>
    <t>$1.68–$1.78 / L (NRCan May 2026)</t>
  </si>
  <si>
    <t>DIESEL — BC METRO</t>
  </si>
  <si>
    <t>$2.15–$2.35 / L (NRCan May 2026)</t>
  </si>
  <si>
    <t>USD/CAD</t>
  </si>
  <si>
    <t>1.36 – 1.37 (Bank of Canada May 2026)</t>
  </si>
  <si>
    <t>CBSA TARIFF</t>
  </si>
  <si>
    <t>25% surtax — Chinese structural steel and rebar (CBSA Notices 24-26 / 25-22, Oct 2024 ongoing)</t>
  </si>
  <si>
    <t>DATA SOURCE</t>
  </si>
  <si>
    <t>Consolidated from RMM-CIVIL-CONTRACTOR-CANADA-2026-REV0 (Contractor Bid Tool) and RMM-CIVIL-CANADA-2026-REV0 (EPCM Benchmark Estimator) — both authored by Rick Miller</t>
  </si>
  <si>
    <t>INTENDED USERS</t>
  </si>
  <si>
    <t>Contractor estimators, EPCM cost engineers, owner cost teams, bid evaluators, project controls</t>
  </si>
  <si>
    <t>INTENDED USE</t>
  </si>
  <si>
    <t>Internal reference / bid-support / sense-check tool. Not a public quotation. Do not issue cells as fixed pricing without project-specific validation.</t>
  </si>
  <si>
    <t>WORKBOOK CELL COLOUR LEGEND</t>
  </si>
  <si>
    <t>White / no shading</t>
  </si>
  <si>
    <t>Reference data extracted directly from the Rev G and Rev E source workbooks (baseline).</t>
  </si>
  <si>
    <t>Light yellow (italic grey text)</t>
  </si>
  <si>
    <t>[TEMPLATE] section — industry-standard framework provided as scaffolding to be populated per project.</t>
  </si>
  <si>
    <t>Light blue</t>
  </si>
  <si>
    <t>[INPUT] cell — user enters a project-specific quantity, rate, or factor.</t>
  </si>
  <si>
    <t>Light green</t>
  </si>
  <si>
    <t>[CALCULATED] cell — driven by formula from inputs; do not overwrite.</t>
  </si>
  <si>
    <t>Light green + bold green text</t>
  </si>
  <si>
    <t>[REV 4 AUDIT] — Sheet 08 build-up cell back-calculated in Rev 4 from (Unit MH × Crew $/hr) + Total Low/High reconciliation. Used for transparency on items where the source workbook provided only Total Low/High.</t>
  </si>
  <si>
    <t>Navy bar</t>
  </si>
  <si>
    <t>Section or sub-section header.</t>
  </si>
  <si>
    <t>#</t>
  </si>
  <si>
    <t>Section</t>
  </si>
  <si>
    <t>Description</t>
  </si>
  <si>
    <t>Cover</t>
  </si>
  <si>
    <t>00</t>
  </si>
  <si>
    <t>Document control, basis, currency, source workbooks, cell legend.</t>
  </si>
  <si>
    <t>Contents</t>
  </si>
  <si>
    <t>01</t>
  </si>
  <si>
    <t>Tab index and navigation map (this sheet).</t>
  </si>
  <si>
    <t>Executive Summary</t>
  </si>
  <si>
    <t>02</t>
  </si>
  <si>
    <t>One-page summary of the package, intended use, and key benchmarks.</t>
  </si>
  <si>
    <t>Estimating Standards</t>
  </si>
  <si>
    <t>03</t>
  </si>
  <si>
    <t>AACE 18R-97 classes, accuracy ranges, design growth, escalation, exchange basis.</t>
  </si>
  <si>
    <t>Crew Compositions</t>
  </si>
  <si>
    <t>04</t>
  </si>
  <si>
    <t>12 crew codes (B1–N1), 2020 vs 2026 escalated all-in rates, crew sizing.</t>
  </si>
  <si>
    <t>Labour Rates</t>
  </si>
  <si>
    <t>05</t>
  </si>
  <si>
    <t>27 positions fully burdened, Camp/LOA flags, classification, 2026 low/high.</t>
  </si>
  <si>
    <t>Equipment Rates</t>
  </si>
  <si>
    <t>06</t>
  </si>
  <si>
    <t>30 fleet items, fully operated rate, fuel burn, mob/demob, availability.</t>
  </si>
  <si>
    <t>Equipment Spreads</t>
  </si>
  <si>
    <t>07</t>
  </si>
  <si>
    <t>[TEMPLATE] Typical spreads by scope (mass earth, fill placement, road, liner).</t>
  </si>
  <si>
    <t>Schedule of Rates — Master</t>
  </si>
  <si>
    <t>08</t>
  </si>
  <si>
    <t>~120 line-item consolidated SoR (Heavy Civil + Contractor scope) with build-up columns.</t>
  </si>
  <si>
    <t>Unit Rate Build-Up Calculator</t>
  </si>
  <si>
    <t>09</t>
  </si>
  <si>
    <t>[TEMPLATE] Working calculator — assemble new unit rates from crew × MH + equip + mat + sub + indirects.</t>
  </si>
  <si>
    <t>Bid Screening Floors &amp; Ceilings</t>
  </si>
  <si>
    <t>10</t>
  </si>
  <si>
    <t>29 benchmark $/m3, $/m2, $/m sense-checks for tender evaluation.</t>
  </si>
  <si>
    <t>Contractor Indirects (CDI)</t>
  </si>
  <si>
    <t>11</t>
  </si>
  <si>
    <t>Field office, PM staff, QC, environmental, mob/demob, head office allocation.</t>
  </si>
  <si>
    <t>Bonding &amp; Insurance</t>
  </si>
  <si>
    <t>12</t>
  </si>
  <si>
    <t>Surety, CGL, WCB by province, Builder's Risk, contractor equipment floater.</t>
  </si>
  <si>
    <t>Standby &amp; Schedule</t>
  </si>
  <si>
    <t>13</t>
  </si>
  <si>
    <t>Equipment &amp; labour standby, OT/shift premiums, winter costs, owner-caused delay.</t>
  </si>
  <si>
    <t>SME Factors</t>
  </si>
  <si>
    <t>14</t>
  </si>
  <si>
    <t>Design growth (Class 4–1), wastage, regional adjustors (11 zones), escalation, accuracy.</t>
  </si>
  <si>
    <t>Bid Cost Structure (Markup Stack)</t>
  </si>
  <si>
    <t>15</t>
  </si>
  <si>
    <t>6-layer markup model: Direct → CDI → OH → Bond/Ins → Contingency → Profit.</t>
  </si>
  <si>
    <t>Mob / Demob Logic</t>
  </si>
  <si>
    <t>16</t>
  </si>
  <si>
    <t>Equipment-specific mob/demob rules, fleet vs single-piece, remote site logic.</t>
  </si>
  <si>
    <t>Constructability Assumptions</t>
  </si>
  <si>
    <t>17</t>
  </si>
  <si>
    <t>[TEMPLATE] Execution philosophy, sequencing, access, productivity, work calendar.</t>
  </si>
  <si>
    <t>Scope Inclusions / Exclusions</t>
  </si>
  <si>
    <t>18</t>
  </si>
  <si>
    <t>[TEMPLATE] Discipline-by-discipline inclusion / exclusion / clarification register.</t>
  </si>
  <si>
    <t>Bid Leveling Comparison</t>
  </si>
  <si>
    <t>19</t>
  </si>
  <si>
    <t>[TEMPLATE] Side-by-side tender evaluation worksheet (3 bidders + benchmark).</t>
  </si>
  <si>
    <t>Change Order Pricing</t>
  </si>
  <si>
    <t>20</t>
  </si>
  <si>
    <t>[TEMPLATE] CCDC-style change order build-up: T&amp;M, unit-rate, lump-sum methodologies.</t>
  </si>
  <si>
    <t>Project Estimate Roll-Up</t>
  </si>
  <si>
    <t>21</t>
  </si>
  <si>
    <t>[TEMPLATE] WBS roll-up sheet — direct + CDI + OH + bond + contingency + profit = total bid.</t>
  </si>
  <si>
    <t>Risk &amp; Contingency Register</t>
  </si>
  <si>
    <t>22</t>
  </si>
  <si>
    <t>[TEMPLATE] Project risk log with cost/schedule impact and contingency allocation.</t>
  </si>
  <si>
    <t>Glossary &amp; Abbreviations</t>
  </si>
  <si>
    <t>23</t>
  </si>
  <si>
    <t>Terms, acronyms, units of measure used throughout the manual.</t>
  </si>
  <si>
    <t>Sources &amp; References</t>
  </si>
  <si>
    <t>24</t>
  </si>
  <si>
    <t>AACE, BCPI, NRCan, CBSA, WCB sources, supplier quotes, internal benchmarks.</t>
  </si>
  <si>
    <t>Real Market Benchmark</t>
  </si>
  <si>
    <t>25</t>
  </si>
  <si>
    <t>[Rev 2] SME ranges cross-referenced vs Alberta Transportation 2026 Unit Price Averages (weighted avg of 3 low bids, May 2024 – Sep 2025) and BC Road Builders 2026 awards. Variance % flagged.</t>
  </si>
  <si>
    <t>This manual is a consolidated, internally-maintained estimating standard and rate library for Canadian mining heavy civil work. It is designed to be used by contractors, EPCMs, and owners for budgetary pricing, feasibility-class estimates, tender support, bid evaluation, and change pricing.</t>
  </si>
  <si>
    <t>WHAT IS INCLUDED — BASELINE (FROM SOURCE WORKBOOKS)</t>
  </si>
  <si>
    <t>• 12 crew codes (B1–N1) with 2020-to-2026 escalation;  • 27 fully-burdened labour positions;  • 30 fully-operated equipment items with fuel burn and mob/demob flags;  • ~78 Heavy Civil unit rates across 8 sections (earthworks → closure);  • ~22 contractor-scope unit rates (blasting → crushing);  • 29 bid-screening floors/ceilings;  • 19 bonding &amp; insurance lines (WCB by province);  • 25 overhead lines;  • 19 standby &amp; schedule items;  • SME factors: design growth, wastage, 10 regional zones, escalation, AACE accuracy ranges.</t>
  </si>
  <si>
    <t>WHAT IS INCLUDED — FRAMEWORK TEMPLATES (AUTHORED HERE)</t>
  </si>
  <si>
    <t>Scaffolding sections clearly marked [TEMPLATE]:  • Equipment spreads;  • Unit rate build-up calculator;  • Constructability &amp; execution assumptions;  • Scope inclusions/exclusions register;  • Bid leveling comparison;  • Change order pricing;  • Project estimate roll-up;  • Risk &amp; contingency register.  These are blank/sample structures — populate per project.</t>
  </si>
  <si>
    <t>INTENDED ESTIMATE CLASSES</t>
  </si>
  <si>
    <t>Class 5/4 (screening / budgetary) — use floor/ceiling ranges and apply +15–20% design growth.
Class 3 (feasibility / budget) — THIS DOCUMENT'S BASELINE. Apply +10–15% design growth.
Class 2 (sanction / AFE / pre-FID) — use mid-range rates with +5–10% design growth.
Class 1 (tender check / detailed) — use low end of range or project-specific quotes; +2–5% design growth.</t>
  </si>
  <si>
    <t>HOW TO USE</t>
  </si>
  <si>
    <t>1) Identify scope and WBS items.  2) Pull unit rates from Sheet 08 (Master SoR).  3) Apply quantity × rate.  4) Add Contractor Indirects (Sheet 11) and apply markup stack (Sheet 15).  5) Apply regional adjustor (Sheet 14).  6) Sense-check against Sheet 10 floors/ceilings.  7) Roll up in Sheet 21.</t>
  </si>
  <si>
    <t>KEY 2026 BENCHMARKS</t>
  </si>
  <si>
    <t>Mass earthworks rock (blasted): $55–$120/m3.  Engineered fill: $22–$45/m3.  Haul road full build: $65–$120/m2.  TMF embankment Zone A/B: $22–$45/m3.  HDPE 2mm liner (S+I+CQA): $28–$55/m2.  CSP culvert 1200mm: $1,000–$1,600/m.  Concrete wall/grade beam: $2,500–$3,200/m3.  Rebar (S+I): $4,000–$6,500/tonne (CBSA 25% surtax exposure).  Performance bond medium contract: 1.0–1.8% of contract.</t>
  </si>
  <si>
    <t>REGIONAL ADJUSTOR RANGE</t>
  </si>
  <si>
    <t>MB/SK 1.00–1.08 (baseline) → Yukon/NWT/Nunavut 1.30–1.55 (extreme remote). Winter premium: 10–25% all Canada.</t>
  </si>
  <si>
    <t>DO NOT USE FOR</t>
  </si>
  <si>
    <t>• Public/fixed quotations without project-specific validation;  • Lump-sum tender submission without supplier confirmation;  • Class 1 detailed estimates without complete IFC drawings and supplier RFQs;  • Projects outside Canadian mining heavy civil scope without re-baselining.</t>
  </si>
  <si>
    <t>AACE 18R-97 — ESTIMATE CLASSIFICATION FRAMEWORK (mining heavy civil interpretation)</t>
  </si>
  <si>
    <t>AACE Class</t>
  </si>
  <si>
    <t>Project Stage</t>
  </si>
  <si>
    <t>Definition Level (% project def.)</t>
  </si>
  <si>
    <t>Methodology</t>
  </si>
  <si>
    <t>Accuracy Low</t>
  </si>
  <si>
    <t>Accuracy High</t>
  </si>
  <si>
    <t>Typical Use</t>
  </si>
  <si>
    <t>Class 5</t>
  </si>
  <si>
    <t>Concept screening</t>
  </si>
  <si>
    <t>0%–2%</t>
  </si>
  <si>
    <t>Stochastic / parametric / per-unit-capacity factors</t>
  </si>
  <si>
    <t>-50%</t>
  </si>
  <si>
    <t>+100%</t>
  </si>
  <si>
    <t>Order of magnitude; screening; ROM</t>
  </si>
  <si>
    <t>Class 4</t>
  </si>
  <si>
    <t>Pre-feasibility / study</t>
  </si>
  <si>
    <t>1%–15%</t>
  </si>
  <si>
    <t>Mostly stochastic; equipment factored; some unit rates</t>
  </si>
  <si>
    <t>-30%</t>
  </si>
  <si>
    <t>+50%</t>
  </si>
  <si>
    <t>Concept evaluation; site selection</t>
  </si>
  <si>
    <t>Class 3</t>
  </si>
  <si>
    <t>Feasibility / budget</t>
  </si>
  <si>
    <t>10%–40%</t>
  </si>
  <si>
    <t>Semi-detailed; mostly unit rates; MTOs from PFD/general arr.</t>
  </si>
  <si>
    <t>-20%</t>
  </si>
  <si>
    <t>+30%</t>
  </si>
  <si>
    <t>Budget authorization; this baseline</t>
  </si>
  <si>
    <t>Class 2</t>
  </si>
  <si>
    <t>Sanction / AFE</t>
  </si>
  <si>
    <t>30%–75%</t>
  </si>
  <si>
    <t>Detailed unit rates; near-complete MTOs; firm quotes on long-leads</t>
  </si>
  <si>
    <t>-10%</t>
  </si>
  <si>
    <t>+20%</t>
  </si>
  <si>
    <t>FID / sanction approval</t>
  </si>
  <si>
    <t>Class 1</t>
  </si>
  <si>
    <t>Tender / check</t>
  </si>
  <si>
    <t>65%–100%</t>
  </si>
  <si>
    <t>Detailed; IFC drawings; firm RFQ pricing; full crew/equip build-up</t>
  </si>
  <si>
    <t>-5%</t>
  </si>
  <si>
    <t>+10%</t>
  </si>
  <si>
    <t>Tender bid; check estimate</t>
  </si>
  <si>
    <t>DESIGN GROWTH ALLOWANCES (by class) — SOURCE: SME Factors tab</t>
  </si>
  <si>
    <t>Class</t>
  </si>
  <si>
    <t>Discipline / Scope</t>
  </si>
  <si>
    <t>Design Growth Low</t>
  </si>
  <si>
    <t>Design Growth High</t>
  </si>
  <si>
    <t>Notes</t>
  </si>
  <si>
    <t>Class 5/4</t>
  </si>
  <si>
    <t>Earthworks / civil</t>
  </si>
  <si>
    <t>15%</t>
  </si>
  <si>
    <t>20%</t>
  </si>
  <si>
    <t>Limited geotech; preliminary drawings</t>
  </si>
  <si>
    <t>Earthworks / civil (this baseline)</t>
  </si>
  <si>
    <t>10%</t>
  </si>
  <si>
    <t>Standard level for feasibility / budget</t>
  </si>
  <si>
    <t>5%</t>
  </si>
  <si>
    <t>Pre-FID; IFC packages near complete</t>
  </si>
  <si>
    <t>2%</t>
  </si>
  <si>
    <t>Full detailed design completed</t>
  </si>
  <si>
    <t>All</t>
  </si>
  <si>
    <t>Concrete works (additive)</t>
  </si>
  <si>
    <t>+5%</t>
  </si>
  <si>
    <t>Add 5% incremental to earthworks DG</t>
  </si>
  <si>
    <t>WASTAGE FACTORS — SOURCE: SME Factors tab</t>
  </si>
  <si>
    <t>Material</t>
  </si>
  <si>
    <t>Wastage Low</t>
  </si>
  <si>
    <t>Wastage High</t>
  </si>
  <si>
    <t>Basis</t>
  </si>
  <si>
    <t>Granular aggregate</t>
  </si>
  <si>
    <t>Rounding + delivery variance</t>
  </si>
  <si>
    <t>Concrete (formed)</t>
  </si>
  <si>
    <t>8%</t>
  </si>
  <si>
    <t>12%</t>
  </si>
  <si>
    <t>Pump waste + edge loss</t>
  </si>
  <si>
    <t>Rebar</t>
  </si>
  <si>
    <t>3%</t>
  </si>
  <si>
    <t>7%</t>
  </si>
  <si>
    <t>Cutting waste; depends on bar size and complexity</t>
  </si>
  <si>
    <t>Geomembrane liner</t>
  </si>
  <si>
    <t>Panel overlaps + anchor trench + QA sampling</t>
  </si>
  <si>
    <t>Geotextile</t>
  </si>
  <si>
    <t>ASTM D4439 6-inch overlap minimum</t>
  </si>
  <si>
    <t>ESCALATION &amp; MARKET BASIS — Q2-2026 — SOURCE: SME Factors tab</t>
  </si>
  <si>
    <t>Item</t>
  </si>
  <si>
    <t>Low</t>
  </si>
  <si>
    <t>High</t>
  </si>
  <si>
    <t>Basis / Source</t>
  </si>
  <si>
    <t>Go-by Q2-2020 → Q2-2026 cumulative escalation factor</t>
  </si>
  <si>
    <t>x1.23</t>
  </si>
  <si>
    <t>x1.27</t>
  </si>
  <si>
    <t>BCPI cumulative; use x1.25 midpoint</t>
  </si>
  <si>
    <t>Labour CBA escalation 2024–2026 (NL trades)</t>
  </si>
  <si>
    <t>3.5%</t>
  </si>
  <si>
    <t>5.5%</t>
  </si>
  <si>
    <t>Per trade; see Sheet 05</t>
  </si>
  <si>
    <t>Diesel — Nova Scotia (May 2026)</t>
  </si>
  <si>
    <t>$2.13/L</t>
  </si>
  <si>
    <t>$2.21/L</t>
  </si>
  <si>
    <t>NS Energy Regulatory Board</t>
  </si>
  <si>
    <t>Diesel — Alberta (May 2026)</t>
  </si>
  <si>
    <t>$1.68/L</t>
  </si>
  <si>
    <t>$1.78/L</t>
  </si>
  <si>
    <t>NRCan</t>
  </si>
  <si>
    <t>Diesel — BC Metro (May 2026)</t>
  </si>
  <si>
    <t>$2.15/L</t>
  </si>
  <si>
    <t>$2.35/L</t>
  </si>
  <si>
    <t>USD/CAD exchange rate (May 2026)</t>
  </si>
  <si>
    <t>1.36</t>
  </si>
  <si>
    <t>1.37</t>
  </si>
  <si>
    <t>Bank of Canada</t>
  </si>
  <si>
    <t>CBSA surtax — Chinese structural steel</t>
  </si>
  <si>
    <t>25%</t>
  </si>
  <si>
    <t>CBSA Notices 24-26/25-22 (Oct 2024 ongoing)</t>
  </si>
  <si>
    <t>CBSA surtax — Chinese rebar</t>
  </si>
  <si>
    <t>Verify supplier origin certificate</t>
  </si>
  <si>
    <t>CONSTRUCTION CREW RATES — CANADA 2026 (CAD/HR) — SOURCE: Rev E Crew Rates tab</t>
  </si>
  <si>
    <t>Code</t>
  </si>
  <si>
    <t>Crew Description</t>
  </si>
  <si>
    <t>Avg Size</t>
  </si>
  <si>
    <t>Lab. 2020 ($/hr)</t>
  </si>
  <si>
    <t>Equip 2020 ($/hr)</t>
  </si>
  <si>
    <t>Total 2020 ($/hr)</t>
  </si>
  <si>
    <t>Esc. Factor</t>
  </si>
  <si>
    <t>Lab. 2026 ($/hr)</t>
  </si>
  <si>
    <t>Equip 2026 ($/hr)</t>
  </si>
  <si>
    <t>Total 2026 ($/hr)</t>
  </si>
  <si>
    <t>Source / Basis</t>
  </si>
  <si>
    <t>B1</t>
  </si>
  <si>
    <t>Civil Works — Light (strip, grade, compact light)</t>
  </si>
  <si>
    <t>x1.25</t>
  </si>
  <si>
    <t>Ausenco go-by Q2-2020 x1.25 BCPI</t>
  </si>
  <si>
    <t>B2</t>
  </si>
  <si>
    <t>Civil Works — Medium (cut, fill, haul &lt;2km)</t>
  </si>
  <si>
    <t>B3</t>
  </si>
  <si>
    <t>Civil Works — Heavy (mass earth, rock, blast)</t>
  </si>
  <si>
    <t>B4</t>
  </si>
  <si>
    <t>Civil Liner &amp; Pipeline (HDPE, geomem, culverts)</t>
  </si>
  <si>
    <t>C1</t>
  </si>
  <si>
    <t>Concrete (slab, wall, pier, footing all-in)</t>
  </si>
  <si>
    <t>D1</t>
  </si>
  <si>
    <t>Structural Steel (erect, weld, bolt-up)</t>
  </si>
  <si>
    <t>E1</t>
  </si>
  <si>
    <t>Architectural (cladding, doors, windows)</t>
  </si>
  <si>
    <t>G1</t>
  </si>
  <si>
    <t>Mechanical Services (HVAC, plumbing, utility)</t>
  </si>
  <si>
    <t>H1</t>
  </si>
  <si>
    <t>Mechanical Equipment (install, align, grout)</t>
  </si>
  <si>
    <t>J1</t>
  </si>
  <si>
    <t>Piping</t>
  </si>
  <si>
    <t>K1</t>
  </si>
  <si>
    <t>Electrical</t>
  </si>
  <si>
    <t>N1</t>
  </si>
  <si>
    <t>Instrumentation</t>
  </si>
  <si>
    <t>DR1</t>
  </si>
  <si>
    <t>Surface Drilling Crew (Rev G blasting + rock anchor scope)</t>
  </si>
  <si>
    <t>Rev 4</t>
  </si>
  <si>
    <t>Rev 4 SME — surface drilling crew; resolves Rev G 'D1' code ambiguity</t>
  </si>
  <si>
    <t>UC1</t>
  </si>
  <si>
    <t>Underground — Shaft Sinking (driller+blaster+mucker)</t>
  </si>
  <si>
    <t>Rev 3</t>
  </si>
  <si>
    <t>Rev 3 SME — specialty shaft sinking crew</t>
  </si>
  <si>
    <t>UC2</t>
  </si>
  <si>
    <t>Underground — Drift Dev / Ground Support</t>
  </si>
  <si>
    <t>Rev 3 SME — drift + bolting + shotcrete</t>
  </si>
  <si>
    <t>UC3</t>
  </si>
  <si>
    <t>Underground — Raise Bore Specialty</t>
  </si>
  <si>
    <t>Rev 3 SME — Atlas/Strata raise borer</t>
  </si>
  <si>
    <t>UC4</t>
  </si>
  <si>
    <t>Underground — Paste / Backfill</t>
  </si>
  <si>
    <t>Rev 3 SME — paste plant + UG distribution</t>
  </si>
  <si>
    <t>DI1</t>
  </si>
  <si>
    <t>Dam Instrumentation (piezo / inclino / survey)</t>
  </si>
  <si>
    <t>Rev 3 SME — VW piezo + inclinometer install</t>
  </si>
  <si>
    <t>HDD</t>
  </si>
  <si>
    <t>HDD Horizontal Directional Drilling (specialty sub)</t>
  </si>
  <si>
    <t>Rev 3 SME — pipeline crossing specialty</t>
  </si>
  <si>
    <t>MEC</t>
  </si>
  <si>
    <t>Mechanical Equipment Install (process plant)</t>
  </si>
  <si>
    <t>Rev 3 SME — mill / thickener / flotation install</t>
  </si>
  <si>
    <t>ST1</t>
  </si>
  <si>
    <t>Steel Erection — Bridge Crew</t>
  </si>
  <si>
    <t>Rev 3 SME — bridge steel erection (heavier lifts)</t>
  </si>
  <si>
    <t>Notes: Crew rates are average all-in (labour + equipment) per crew-hour. Productivity (Prod Factor) is applied at the unit-rate level (see Sheet 08). Crew composition by trade is shown on Sheet 05 and 06 — these crews are SME averages for benchmarking, not a fixed roster.</t>
  </si>
  <si>
    <t>CONSTRUCTION LABOUR RATES — CANADA 2026 FULLY BURDENED (CAD/HR) — SOURCE: Rev E Labour Rates tab</t>
  </si>
  <si>
    <t>Ref</t>
  </si>
  <si>
    <t>Trade / Position</t>
  </si>
  <si>
    <t>Classification</t>
  </si>
  <si>
    <t>2026 Low (CAD/hr)</t>
  </si>
  <si>
    <t>2026 High (CAD/hr)</t>
  </si>
  <si>
    <t>Camp/LOA</t>
  </si>
  <si>
    <t>SME Notes</t>
  </si>
  <si>
    <t>S1</t>
  </si>
  <si>
    <t>General Superintendent</t>
  </si>
  <si>
    <t>Supervisor</t>
  </si>
  <si>
    <t>LOA+Camp</t>
  </si>
  <si>
    <t>All burdens+O&amp;P. Remote mining site.</t>
  </si>
  <si>
    <t>S2</t>
  </si>
  <si>
    <t>Superintendent</t>
  </si>
  <si>
    <t>S3</t>
  </si>
  <si>
    <t>General Foreman</t>
  </si>
  <si>
    <t>Civil Work Lead</t>
  </si>
  <si>
    <t>Civil</t>
  </si>
  <si>
    <t>C2</t>
  </si>
  <si>
    <t>Equip Operator — Heavy Duty (dozer/exc/grader)</t>
  </si>
  <si>
    <t>D8/336/140M class. 2026 burdened.</t>
  </si>
  <si>
    <t>C3</t>
  </si>
  <si>
    <t>Equip Operator — Medium Duty (loader/backhoe)</t>
  </si>
  <si>
    <t>930M/320D class</t>
  </si>
  <si>
    <t>C4</t>
  </si>
  <si>
    <t>Equip Operator — Light Duty (skidsteer/roller)</t>
  </si>
  <si>
    <t>C5</t>
  </si>
  <si>
    <t>Labourer — Journeyman</t>
  </si>
  <si>
    <t>Base civil crew rate</t>
  </si>
  <si>
    <t>C6</t>
  </si>
  <si>
    <t>Labourer — 2yr Apprentice</t>
  </si>
  <si>
    <t>C7</t>
  </si>
  <si>
    <t>Labourer — 1st yr Apprentice</t>
  </si>
  <si>
    <t>Driller — Journeyman (blast hole)</t>
  </si>
  <si>
    <t>Civil/Blast</t>
  </si>
  <si>
    <t>Licensed; Atlas/Sandvik rig</t>
  </si>
  <si>
    <t>D2</t>
  </si>
  <si>
    <t>Blaster — Journeyman</t>
  </si>
  <si>
    <t>Provincial certificate required</t>
  </si>
  <si>
    <t>M1</t>
  </si>
  <si>
    <t>Mechanic — Heavy Duty</t>
  </si>
  <si>
    <t>Mechanical</t>
  </si>
  <si>
    <t>Plant/fleet mechanic</t>
  </si>
  <si>
    <t>M2</t>
  </si>
  <si>
    <t>Mechanic — Medium Duty</t>
  </si>
  <si>
    <t>T1</t>
  </si>
  <si>
    <t>Carpenter — Journeyman (formwork)</t>
  </si>
  <si>
    <t>Trades</t>
  </si>
  <si>
    <t>T3</t>
  </si>
  <si>
    <t>Concrete Lead</t>
  </si>
  <si>
    <t>T4</t>
  </si>
  <si>
    <t>Concrete Finisher — Journeyman</t>
  </si>
  <si>
    <t>T5</t>
  </si>
  <si>
    <t>Ironworker — Journeyman (rebar/structural)</t>
  </si>
  <si>
    <t>T6</t>
  </si>
  <si>
    <t>Welder/Pipefitter — Journeyman</t>
  </si>
  <si>
    <t>T8</t>
  </si>
  <si>
    <t>Rodman — Reinforcement Journeyman</t>
  </si>
  <si>
    <t>Electrician — Journeyman</t>
  </si>
  <si>
    <t>2026 shortage premium applied</t>
  </si>
  <si>
    <t>I1</t>
  </si>
  <si>
    <t>Instrumentation Tech — Journeyman</t>
  </si>
  <si>
    <t>P1</t>
  </si>
  <si>
    <t>Project Engineer — Field</t>
  </si>
  <si>
    <t>PM/Eng</t>
  </si>
  <si>
    <t>P2</t>
  </si>
  <si>
    <t>Project Engineer — Senior Field</t>
  </si>
  <si>
    <t>O1</t>
  </si>
  <si>
    <t>Safety Officer (NCSO certified)</t>
  </si>
  <si>
    <t>HSE</t>
  </si>
  <si>
    <t>NCSO cert + site-specific induction</t>
  </si>
  <si>
    <t>O2</t>
  </si>
  <si>
    <t>Camp — all-in per person/day</t>
  </si>
  <si>
    <t>Indirect</t>
  </si>
  <si>
    <t>Included</t>
  </si>
  <si>
    <t>Bunk, food, laundry, rec. Remote mine.</t>
  </si>
  <si>
    <t>O3</t>
  </si>
  <si>
    <t>LOA subsistence — non-camp</t>
  </si>
  <si>
    <t>N/A</t>
  </si>
  <si>
    <t>Per-diem where camp not provided</t>
  </si>
  <si>
    <t>Labour rates are fully burdened: base wage + statutory burdens (CPP, EI, EHT, vacation, stat holidays) + employer benefits + WCB (province-specific, see Sheet 12) + small tools allowance + supervision ratio. Camp/LOA is shown as an additive per-person cost; subsistence is per-diem where camp not provided. Use Sheet 12 to validate WCB rate by province before pricing.</t>
  </si>
  <si>
    <t>CONSTRUCTION EQUIPMENT RATES — CANADA 2026 FULLY OPERATED (CAD/HR) — SOURCE: Rev E Equipment Rates tab</t>
  </si>
  <si>
    <t>Cat.</t>
  </si>
  <si>
    <t>Equipment</t>
  </si>
  <si>
    <t>Size / Capacity</t>
  </si>
  <si>
    <t>2026 Low ($/hr)</t>
  </si>
  <si>
    <t>2026 High ($/hr)</t>
  </si>
  <si>
    <t>Fuel (L/hr)</t>
  </si>
  <si>
    <t>Mob/Demob</t>
  </si>
  <si>
    <t>Availability</t>
  </si>
  <si>
    <t>HT</t>
  </si>
  <si>
    <t>Tandem dump truck</t>
  </si>
  <si>
    <t>18-20T</t>
  </si>
  <si>
    <t>45-65</t>
  </si>
  <si>
    <t>Required</t>
  </si>
  <si>
    <t>85%</t>
  </si>
  <si>
    <t>Fully operated; Canada-wide May 2026</t>
  </si>
  <si>
    <t>Tri-axle dump truck</t>
  </si>
  <si>
    <t>25T</t>
  </si>
  <si>
    <t>55-75</t>
  </si>
  <si>
    <t>Wiggle wagon / Super B</t>
  </si>
  <si>
    <t>45T</t>
  </si>
  <si>
    <t>65-90</t>
  </si>
  <si>
    <t>80%</t>
  </si>
  <si>
    <t>Field confirmed Q2-2026</t>
  </si>
  <si>
    <t>Off-road haul truck</t>
  </si>
  <si>
    <t>40-100T</t>
  </si>
  <si>
    <t>80-140</t>
  </si>
  <si>
    <t>Komatsu/CAT; payload class dependent</t>
  </si>
  <si>
    <t>EX</t>
  </si>
  <si>
    <t>Hydraulic excavator</t>
  </si>
  <si>
    <t>Cat 320 20-25T</t>
  </si>
  <si>
    <t>18-25</t>
  </si>
  <si>
    <t>Production dig/load</t>
  </si>
  <si>
    <t>Cat 336 35-40T</t>
  </si>
  <si>
    <t>25-35</t>
  </si>
  <si>
    <t>Rock + bulk earthworks</t>
  </si>
  <si>
    <t>Cat 390 50-65T</t>
  </si>
  <si>
    <t>38-50</t>
  </si>
  <si>
    <t>82%</t>
  </si>
  <si>
    <t>Mass excavation</t>
  </si>
  <si>
    <t>Long-reach excavator</t>
  </si>
  <si>
    <t>20T 18m reach</t>
  </si>
  <si>
    <t>Pond, ditch, shoreline</t>
  </si>
  <si>
    <t>DO</t>
  </si>
  <si>
    <t>Track dozer</t>
  </si>
  <si>
    <t>Cat D6N 17T</t>
  </si>
  <si>
    <t>20-30</t>
  </si>
  <si>
    <t>88%</t>
  </si>
  <si>
    <t>Clear, rough grade, push</t>
  </si>
  <si>
    <t>Cat D8T 37T</t>
  </si>
  <si>
    <t>35-48</t>
  </si>
  <si>
    <t>Production push, rip rock</t>
  </si>
  <si>
    <t>Cat D10T 58T</t>
  </si>
  <si>
    <t>50-68</t>
  </si>
  <si>
    <t>Mass earthworks, stripping</t>
  </si>
  <si>
    <t>GR</t>
  </si>
  <si>
    <t>Motor grader</t>
  </si>
  <si>
    <t>Cat 140M</t>
  </si>
  <si>
    <t>18-26</t>
  </si>
  <si>
    <t>Road maint, final grade</t>
  </si>
  <si>
    <t>Cat 16M large</t>
  </si>
  <si>
    <t>22-32</t>
  </si>
  <si>
    <t>Large platform grading</t>
  </si>
  <si>
    <t>CP</t>
  </si>
  <si>
    <t>Vib. roller single drum</t>
  </si>
  <si>
    <t>Cat CS56B 12T</t>
  </si>
  <si>
    <t>15-22</t>
  </si>
  <si>
    <t>200-300mm lift</t>
  </si>
  <si>
    <t>Padfoot compactor</t>
  </si>
  <si>
    <t>Cat CS74B 17T</t>
  </si>
  <si>
    <t>Cohesive soils</t>
  </si>
  <si>
    <t>Plate compactor / jumping jack</t>
  </si>
  <si>
    <t>0.5-1T</t>
  </si>
  <si>
    <t>5-8</t>
  </si>
  <si>
    <t>By truck</t>
  </si>
  <si>
    <t>90%</t>
  </si>
  <si>
    <t>Trench zones, tight access</t>
  </si>
  <si>
    <t>WL</t>
  </si>
  <si>
    <t>Wheel loader</t>
  </si>
  <si>
    <t>Cat 930M 10T</t>
  </si>
  <si>
    <t>87%</t>
  </si>
  <si>
    <t>Aggregate load, general</t>
  </si>
  <si>
    <t>Cat 950M 16T</t>
  </si>
  <si>
    <t>22-30</t>
  </si>
  <si>
    <t>General load-out</t>
  </si>
  <si>
    <t>Cat 980M 22T</t>
  </si>
  <si>
    <t>28-38</t>
  </si>
  <si>
    <t>High production</t>
  </si>
  <si>
    <t>DR</t>
  </si>
  <si>
    <t>Rotary drill rig</t>
  </si>
  <si>
    <t>Atlas 120mm hole</t>
  </si>
  <si>
    <t>35-50</t>
  </si>
  <si>
    <t>Blast hole drilling</t>
  </si>
  <si>
    <t>SK</t>
  </si>
  <si>
    <t>Skid steer</t>
  </si>
  <si>
    <t>Cat 262D</t>
  </si>
  <si>
    <t>10-15</t>
  </si>
  <si>
    <t>Tight access, site clean</t>
  </si>
  <si>
    <t>WP</t>
  </si>
  <si>
    <t>Diesel submersible pump</t>
  </si>
  <si>
    <t>4-inch 150mm</t>
  </si>
  <si>
    <t>10-16</t>
  </si>
  <si>
    <t>Site dewatering</t>
  </si>
  <si>
    <t>8-inch 200mm</t>
  </si>
  <si>
    <t>Large dewatering</t>
  </si>
  <si>
    <t>CR</t>
  </si>
  <si>
    <t>Rough terrain crane</t>
  </si>
  <si>
    <t>Grove RT 60T</t>
  </si>
  <si>
    <t>30-45</t>
  </si>
  <si>
    <t>Lifts, precast, equip set</t>
  </si>
  <si>
    <t>Lattice boom crawler crane</t>
  </si>
  <si>
    <t>Liebherr 150T</t>
  </si>
  <si>
    <t>60-90</t>
  </si>
  <si>
    <t>78%</t>
  </si>
  <si>
    <t>Heavy lift</t>
  </si>
  <si>
    <t>MI</t>
  </si>
  <si>
    <t>Rock breaker / hyd hammer</t>
  </si>
  <si>
    <t>Cat 345 + hammer</t>
  </si>
  <si>
    <t>28-40</t>
  </si>
  <si>
    <t>Rock fragmentation</t>
  </si>
  <si>
    <t>Air compressor diesel towable</t>
  </si>
  <si>
    <t>375 cfm</t>
  </si>
  <si>
    <t>12-18</t>
  </si>
  <si>
    <t>Drill assist, pneumatics</t>
  </si>
  <si>
    <t>Light tower diesel</t>
  </si>
  <si>
    <t>8-10 kW</t>
  </si>
  <si>
    <t>95%</t>
  </si>
  <si>
    <t>Nightshift / portal safety</t>
  </si>
  <si>
    <t>Fuel tanker site supply</t>
  </si>
  <si>
    <t>10,000L</t>
  </si>
  <si>
    <t>30-40</t>
  </si>
  <si>
    <t>Incl. driver</t>
  </si>
  <si>
    <t>Water truck dust suppression</t>
  </si>
  <si>
    <t>Equipment rates are fully operated (operator wage already burdened; see Sheet 05 for standalone labour). Fuel is shown in L/hr; multiply by site diesel price (Sheet 03) for fuel-cost portion. Availability % drives effective hours per shift. Mob/demob: 'Required' = additional cost per Sheet 16; 'Included' = built into hourly rate; 'By truck' = transport on flatbed at nominal cost.</t>
  </si>
  <si>
    <t>TYPICAL EQUIPMENT SPREADS BY SCOPE [TEMPLATE — verify against project conditions]</t>
  </si>
  <si>
    <t>Scope / Operation</t>
  </si>
  <si>
    <t>Spread Description</t>
  </si>
  <si>
    <t>Primary Equipment</t>
  </si>
  <si>
    <t>Support Equipment</t>
  </si>
  <si>
    <t>Crew Code</t>
  </si>
  <si>
    <t>Productivity Range</t>
  </si>
  <si>
    <t>Util.</t>
  </si>
  <si>
    <t>Mass earthworks — rock</t>
  </si>
  <si>
    <t>Drill + blast + load + haul</t>
  </si>
  <si>
    <t>1x DR rotary, 1x EX Cat 390, 4-6x off-road 40-100T</t>
  </si>
  <si>
    <t>1x D10T, 1x water truck, 1x grader</t>
  </si>
  <si>
    <t>800-1,500 m3/shift</t>
  </si>
  <si>
    <t>75%</t>
  </si>
  <si>
    <t>Rock blasted/m3; cycle &lt;2km</t>
  </si>
  <si>
    <t>Mass earthworks — common</t>
  </si>
  <si>
    <t>Cut/fill/place/compact</t>
  </si>
  <si>
    <t>1x EX Cat 336, 4-6x tandem/tri-axle</t>
  </si>
  <si>
    <t>1x D8T, 1x CS56B roller, 1x water truck</t>
  </si>
  <si>
    <t>1,200-2,000 m3/shift</t>
  </si>
  <si>
    <t>Engineered fill &lt;250mm</t>
  </si>
  <si>
    <t>Engineered fill placement</t>
  </si>
  <si>
    <t>Lift placement and compaction</t>
  </si>
  <si>
    <t>1x EX Cat 320 or WL 950M, 2-4x tandem</t>
  </si>
  <si>
    <t>1x D6N, 1x CS74B padfoot, 1x water truck</t>
  </si>
  <si>
    <t>600-1,000 m3/shift</t>
  </si>
  <si>
    <t>300mm lift; Zone A/B; nuclear density</t>
  </si>
  <si>
    <t>Haul road build</t>
  </si>
  <si>
    <t>Sub-grade → surface course</t>
  </si>
  <si>
    <t>1x D8T (sub-base), 1x grader 140M (surface)</t>
  </si>
  <si>
    <t>1x CS56B roller, 1x water truck</t>
  </si>
  <si>
    <t>150-300 m/day full build</t>
  </si>
  <si>
    <t>8m wide single lane; all lifts</t>
  </si>
  <si>
    <t>HDPE liner install (TMF)</t>
  </si>
  <si>
    <t>Panel deploy + weld + CQA</t>
  </si>
  <si>
    <t>1x WL 930M (panel handling), 1x SK</t>
  </si>
  <si>
    <t>1x air compressor 375cfm</t>
  </si>
  <si>
    <t>1,500-3,000 m2/day</t>
  </si>
  <si>
    <t>Specialty sub; CQA per project</t>
  </si>
  <si>
    <t>Culvert install (≥900 mm CSP)</t>
  </si>
  <si>
    <t>Trench, bed, install, backfill</t>
  </si>
  <si>
    <t>1x EX Cat 320, 1x WL 930M, 2x tandem</t>
  </si>
  <si>
    <t>1x plate compactor, 1x dewatering pump</t>
  </si>
  <si>
    <t>20-40 m/day</t>
  </si>
  <si>
    <t>Cofferdam + dewatering if creek live</t>
  </si>
  <si>
    <t>Buried services trenching</t>
  </si>
  <si>
    <t>Trench, bed, lay, backfill</t>
  </si>
  <si>
    <t>1x EX Cat 320, 1x tandem, 1x WL 930M</t>
  </si>
  <si>
    <t>1x plate compactor, 1x trench box</t>
  </si>
  <si>
    <t>60-120 m/day</t>
  </si>
  <si>
    <t>HDPE 150-200mm; depth &lt;2.5m</t>
  </si>
  <si>
    <t>Concrete pour — foundation</t>
  </si>
  <si>
    <t>Form, place, pour, finish</t>
  </si>
  <si>
    <t>1x crane RT 60T (if precast/heavy form)</t>
  </si>
  <si>
    <t>1x concrete pump, 1x vibrator</t>
  </si>
  <si>
    <t>12-25 m3/day</t>
  </si>
  <si>
    <t>Formed walls / grade beams</t>
  </si>
  <si>
    <t>Rock support — shotcrete</t>
  </si>
  <si>
    <t>Apply 50-100mm with mesh</t>
  </si>
  <si>
    <t>1x shotcrete pump, 1x EX (mesh handling)</t>
  </si>
  <si>
    <t>1x SK (mix supply)</t>
  </si>
  <si>
    <t>120-250 m2/day</t>
  </si>
  <si>
    <t>70%</t>
  </si>
  <si>
    <t>Fibre or wire mesh embedded</t>
  </si>
  <si>
    <t>Drill+blast rock anchors</t>
  </si>
  <si>
    <t>Drill, install, grout, tension</t>
  </si>
  <si>
    <t>1x drill rig (anchor-specific), 1x EX</t>
  </si>
  <si>
    <t>1x grout plant</t>
  </si>
  <si>
    <t>8-15 anchors/day</t>
  </si>
  <si>
    <t>Active tensioned 32mm strand</t>
  </si>
  <si>
    <t>Buried HDPE forcemain</t>
  </si>
  <si>
    <t>Trench, bed, fuse, lay, backfill</t>
  </si>
  <si>
    <t>1x EX Cat 320, 1x WL, 1x fusion machine, 1x tandem</t>
  </si>
  <si>
    <t>1x plate compactor</t>
  </si>
  <si>
    <t>80-150 m/day</t>
  </si>
  <si>
    <t>Site dewatering may be required</t>
  </si>
  <si>
    <t>Demolition / strip and grub</t>
  </si>
  <si>
    <t>Clear, grub, stockpile</t>
  </si>
  <si>
    <t>1x D8T, 1x EX Cat 336</t>
  </si>
  <si>
    <t>1x tandem (haul)</t>
  </si>
  <si>
    <t>0.5-1.5 ha/day</t>
  </si>
  <si>
    <t>Light bush; rock/timber additive</t>
  </si>
  <si>
    <t>[TEMPLATE — verify per project] These are typical SME spreads for Class 3 estimating. Validate fleet sizing against site access, haul distance, geotechnical conditions, climate window, and crew availability before committing to a bid.</t>
  </si>
  <si>
    <t>MASTER SCHEDULE OF RATES — HEAVY CIVIL + CONTRACTOR SCOPE — CANADA 2026 (CAD) — SOURCE: Rev E HCUR + Rev G Missing Unit Rates</t>
  </si>
  <si>
    <t>WBS Ref</t>
  </si>
  <si>
    <t>Item Description</t>
  </si>
  <si>
    <t>UOM</t>
  </si>
  <si>
    <t>Unit MH</t>
  </si>
  <si>
    <t>Prod Factor</t>
  </si>
  <si>
    <t>Unit Labour</t>
  </si>
  <si>
    <t>Unit Equip</t>
  </si>
  <si>
    <t>Unit Material</t>
  </si>
  <si>
    <t>Unit Subcon.</t>
  </si>
  <si>
    <t>CDI %</t>
  </si>
  <si>
    <t>Total LOW (CAD)</t>
  </si>
  <si>
    <t>Total HIGH (CAD)</t>
  </si>
  <si>
    <t>DG %</t>
  </si>
  <si>
    <t>Wastage %</t>
  </si>
  <si>
    <t>Crew</t>
  </si>
  <si>
    <t>Pricing Source / Basis</t>
  </si>
  <si>
    <t>A — EARTHWORKS &amp; MASS EXCAVATION</t>
  </si>
  <si>
    <t>C-10-002</t>
  </si>
  <si>
    <t>Excavation common soil — stockpile haul 1-3km</t>
  </si>
  <si>
    <t>m3</t>
  </si>
  <si>
    <t>0%</t>
  </si>
  <si>
    <t>Longer haul cycle</t>
  </si>
  <si>
    <t>C-10-003</t>
  </si>
  <si>
    <t>Backfill common — spread and compact</t>
  </si>
  <si>
    <t>Go-by x1.25</t>
  </si>
  <si>
    <t>C-10-004</t>
  </si>
  <si>
    <t>Backfill Type 1 &lt;250mm — spread and compact</t>
  </si>
  <si>
    <t>Mat=$13.08 x1.25</t>
  </si>
  <si>
    <t>C-10-005</t>
  </si>
  <si>
    <t>Backfill Type 2 &lt;100mm — spread and compact</t>
  </si>
  <si>
    <t>Mat=$22.00 x1.25</t>
  </si>
  <si>
    <t>C-10-006</t>
  </si>
  <si>
    <t>Backfill Type 3 engineered — spread and compact</t>
  </si>
  <si>
    <t>Mat=$15.17 x1.25</t>
  </si>
  <si>
    <t>C-10-007</t>
  </si>
  <si>
    <t>Rock excavation — blasted and loaded to truck</t>
  </si>
  <si>
    <t>SME benchmark; drill+blast separate</t>
  </si>
  <si>
    <t>C-10-008</t>
  </si>
  <si>
    <t>Overburden strip — doze + rip + stockpile</t>
  </si>
  <si>
    <t>Dozer push</t>
  </si>
  <si>
    <t>C-10-009</t>
  </si>
  <si>
    <t>Granular A base &lt;19mm — supply+place+compact</t>
  </si>
  <si>
    <t>Mat=$35 x1.25</t>
  </si>
  <si>
    <t>C-10-010</t>
  </si>
  <si>
    <t>Granular B sub-base &lt;75mm — supply+place+compact</t>
  </si>
  <si>
    <t>Mat=$30 x1.25 avg</t>
  </si>
  <si>
    <t>C-10-011</t>
  </si>
  <si>
    <t>Sand bedding layer — supply+place+compact</t>
  </si>
  <si>
    <t>Mat=$42 x1.25</t>
  </si>
  <si>
    <t>C-10-012</t>
  </si>
  <si>
    <t>Topsoil placement — supply+spread</t>
  </si>
  <si>
    <t>Supply+spread; seed separately</t>
  </si>
  <si>
    <t>C-10-013</t>
  </si>
  <si>
    <t>Seeding and restoration — hydraulic</t>
  </si>
  <si>
    <t>m2</t>
  </si>
  <si>
    <t>Per provincial restoration spec</t>
  </si>
  <si>
    <t>C-10-014</t>
  </si>
  <si>
    <t>Cut-fill balanced earthworks — large-scale</t>
  </si>
  <si>
    <t>On-site haul &lt;1km; GPS</t>
  </si>
  <si>
    <t>C-10-015</t>
  </si>
  <si>
    <t>Settling pond / water management excavation</t>
  </si>
  <si>
    <t>No mob/demob assumed</t>
  </si>
  <si>
    <t>C-10-016</t>
  </si>
  <si>
    <t>Drill and blast — holes only (excav separate)</t>
  </si>
  <si>
    <t>Explosives approx $3.60/m3 x1.25</t>
  </si>
  <si>
    <t>B — WATER MANAGEMENT / SWM &amp; ESC</t>
  </si>
  <si>
    <t>C-20-002</t>
  </si>
  <si>
    <t>Riprap D50 150mm entrance/exit — supply+place</t>
  </si>
  <si>
    <t>C-20-003</t>
  </si>
  <si>
    <t>Riprap D50 300mm — supply+place</t>
  </si>
  <si>
    <t>C-20-004</t>
  </si>
  <si>
    <t>Riprap D50 600mm heavy — supply+place</t>
  </si>
  <si>
    <t>C-20-005</t>
  </si>
  <si>
    <t>Energy dissipator riprap — full supply+place</t>
  </si>
  <si>
    <t>Incl. quarried rock supply</t>
  </si>
  <si>
    <t>C-20-006</t>
  </si>
  <si>
    <t>10oz non-woven geotextile cushion — S+I</t>
  </si>
  <si>
    <t>Mat per supply quote Jan-2026</t>
  </si>
  <si>
    <t>C-20-007</t>
  </si>
  <si>
    <t>6oz non-woven geotextile separator — S+I</t>
  </si>
  <si>
    <t>C-20-008</t>
  </si>
  <si>
    <t>Silt fence heavy duty — supply+install</t>
  </si>
  <si>
    <t>m</t>
  </si>
  <si>
    <t>C-20-009</t>
  </si>
  <si>
    <t>Straw bale flow check dam — supply+install</t>
  </si>
  <si>
    <t>Temp ESC measure</t>
  </si>
  <si>
    <t>C-20-010</t>
  </si>
  <si>
    <t>Sediment dewatering bag — supply+install</t>
  </si>
  <si>
    <t>ea</t>
  </si>
  <si>
    <t>Supply dominant cost</t>
  </si>
  <si>
    <t>C-20-011</t>
  </si>
  <si>
    <t>Temp pump diesel submersible 8-week rental</t>
  </si>
  <si>
    <t>Subcontract / dry hire</t>
  </si>
  <si>
    <t>C — ROADS, PADS &amp; WORKING SURFACES</t>
  </si>
  <si>
    <t>C-30-002</t>
  </si>
  <si>
    <t>Haul road — sub-grade preparation only</t>
  </si>
  <si>
    <t>Cut+fill+compact 95% Proctor</t>
  </si>
  <si>
    <t>C-30-003</t>
  </si>
  <si>
    <t>Granular sub-base 300mm — supply+place+compact</t>
  </si>
  <si>
    <t>C-30-004</t>
  </si>
  <si>
    <t>Granular surface course 150mm — supply+place</t>
  </si>
  <si>
    <t>C-30-005</t>
  </si>
  <si>
    <t>Asphalt paving 50mm HL3 surface course</t>
  </si>
  <si>
    <t>NS/ON/BC hot mix plant avail.</t>
  </si>
  <si>
    <t>C-30-006</t>
  </si>
  <si>
    <t>Equipment pad granular 600mm — heavy duty</t>
  </si>
  <si>
    <t>Process plant; 98% Proctor</t>
  </si>
  <si>
    <t>C-30-007</t>
  </si>
  <si>
    <t>Equipment pad concrete 300mm slab on grade</t>
  </si>
  <si>
    <t>Gran base+rebar+pour+cure</t>
  </si>
  <si>
    <t>C-30-008</t>
  </si>
  <si>
    <t>Geotextile separation under road base — S+I</t>
  </si>
  <si>
    <t>5oz woven</t>
  </si>
  <si>
    <t>C-30-009</t>
  </si>
  <si>
    <t>Road crown and ditching — motor grader finish</t>
  </si>
  <si>
    <t>Shoulder ditch included</t>
  </si>
  <si>
    <t>D — WRSA / TMF EMBANKMENT</t>
  </si>
  <si>
    <t>C-40-002</t>
  </si>
  <si>
    <t>TMF embankment common fill Zone A/B</t>
  </si>
  <si>
    <t>300mm lift; nuclear density; Dam Safety</t>
  </si>
  <si>
    <t>C-40-003</t>
  </si>
  <si>
    <t>TMF embankment random rockfill Zone C</t>
  </si>
  <si>
    <t>500mm lift; vibrating roller</t>
  </si>
  <si>
    <t>C-40-004</t>
  </si>
  <si>
    <t>HDPE 2mm (80mil) liner — full S+I+CQA</t>
  </si>
  <si>
    <t>Full scope incl. Ind. CQA</t>
  </si>
  <si>
    <t>C-40-005</t>
  </si>
  <si>
    <t>HDPE 1.5mm liner — full S+I+CQA</t>
  </si>
  <si>
    <t>Secondary / lower-risk pond</t>
  </si>
  <si>
    <t>C-40-006</t>
  </si>
  <si>
    <t>Filter zone drainage blanket 19mm — supply+place</t>
  </si>
  <si>
    <t>Clean crushed behind liner</t>
  </si>
  <si>
    <t>C-40-007</t>
  </si>
  <si>
    <t>Geonet / geocomposite drainage layer — S+I</t>
  </si>
  <si>
    <t>Leachate/drainage over liner</t>
  </si>
  <si>
    <t>C-40-008</t>
  </si>
  <si>
    <t>Protective cover soil over liner — place+compact</t>
  </si>
  <si>
    <t>600mm min. cover</t>
  </si>
  <si>
    <t>C-40-009</t>
  </si>
  <si>
    <t>TMF perimeter ditch — cut+shape+riprap lined</t>
  </si>
  <si>
    <t>Incl. riprap lining</t>
  </si>
  <si>
    <t>E — DRAINAGE, CULVERTS &amp; PIPING</t>
  </si>
  <si>
    <t>C-50-002</t>
  </si>
  <si>
    <t>CSP culvert 750mm — supply+install+bedding</t>
  </si>
  <si>
    <t>C-50-003</t>
  </si>
  <si>
    <t>CSP culvert 900mm — supply+install+bedding</t>
  </si>
  <si>
    <t>C-50-004</t>
  </si>
  <si>
    <t>CSP culvert 1050mm — supply+install+bedding</t>
  </si>
  <si>
    <t>C-50-005</t>
  </si>
  <si>
    <t>CSP culvert 1200mm — supply+install+bedding</t>
  </si>
  <si>
    <t>C-50-006</t>
  </si>
  <si>
    <t>CSP flow guard 600mm — supply+install</t>
  </si>
  <si>
    <t>Armtec Dec-2025</t>
  </si>
  <si>
    <t>C-50-007</t>
  </si>
  <si>
    <t>CSP flow guard 750mm — supply+install</t>
  </si>
  <si>
    <t>C-50-008</t>
  </si>
  <si>
    <t>CSP flow guard 900mm — supply+install</t>
  </si>
  <si>
    <t>C-50-009</t>
  </si>
  <si>
    <t>CSP flow guard 1200mm — supply+install</t>
  </si>
  <si>
    <t>C-50-010</t>
  </si>
  <si>
    <t>HDPE 100mm DR11 buried — excav+install+backfill</t>
  </si>
  <si>
    <t>Trench+bedding+install+BF</t>
  </si>
  <si>
    <t>C-50-011</t>
  </si>
  <si>
    <t>HDPE 150mm DR11 above grade + insulation</t>
  </si>
  <si>
    <t>NE Jan-2026 supply +15% install</t>
  </si>
  <si>
    <t>C-50-012</t>
  </si>
  <si>
    <t>HDPE 200mm DR11 above grade + insulation</t>
  </si>
  <si>
    <t>C-50-013</t>
  </si>
  <si>
    <t>HDPE 600mm DR17 above grade + insulation</t>
  </si>
  <si>
    <t>C-50-014</t>
  </si>
  <si>
    <t>HDPE 1200mm inlet piping — supply+install</t>
  </si>
  <si>
    <t>Vendor quote x1.10 +install</t>
  </si>
  <si>
    <t>C-50-015</t>
  </si>
  <si>
    <t>Clear stone discharge pipe 450mm — S+I</t>
  </si>
  <si>
    <t>C-50-016</t>
  </si>
  <si>
    <t>Discharge trench clear stone — supply+place</t>
  </si>
  <si>
    <t>10% mat markup</t>
  </si>
  <si>
    <t>F — CONCRETE</t>
  </si>
  <si>
    <t>C-60-002</t>
  </si>
  <si>
    <t>Concrete wall and grade beam — supply+pour+cure</t>
  </si>
  <si>
    <t>C-60-003</t>
  </si>
  <si>
    <t>Concrete pier — drill+form+pour</t>
  </si>
  <si>
    <t>C-60-004</t>
  </si>
  <si>
    <t>Concrete footing — continuous/isolated</t>
  </si>
  <si>
    <t>C-60-005</t>
  </si>
  <si>
    <t>Shotcrete rock reinforcement 50mm</t>
  </si>
  <si>
    <t>Portal + slope reinforcement</t>
  </si>
  <si>
    <t>C-60-006</t>
  </si>
  <si>
    <t>Rebar Grade 400 — supply+install</t>
  </si>
  <si>
    <t>tonne</t>
  </si>
  <si>
    <t>CBSA 25% surtax Chinese rebar</t>
  </si>
  <si>
    <t>G — STRUCTURAL STEEL</t>
  </si>
  <si>
    <t>C-70-002</t>
  </si>
  <si>
    <t>Steel beams medium 26-65 kg/m — supply+erect</t>
  </si>
  <si>
    <t>C-70-003</t>
  </si>
  <si>
    <t>Steel beams heavy 66-125 kg/m — supply+erect</t>
  </si>
  <si>
    <t>C-70-004</t>
  </si>
  <si>
    <t>Steel columns extra-heavy — supply+erect</t>
  </si>
  <si>
    <t>C-70-005</t>
  </si>
  <si>
    <t>Steel grating 32x4.8mm — supply+install</t>
  </si>
  <si>
    <t>C-70-006</t>
  </si>
  <si>
    <t>Handrail incl. toe plate and fasteners</t>
  </si>
  <si>
    <t>C-70-007</t>
  </si>
  <si>
    <t>Stairs — stringers and treads (less handrail)</t>
  </si>
  <si>
    <t>C-70-008</t>
  </si>
  <si>
    <t>Metal roof deck 22ga 76mm — supply+erect</t>
  </si>
  <si>
    <t>C-70-009</t>
  </si>
  <si>
    <t>Metal cladding 22ga prefinished — supply+erect</t>
  </si>
  <si>
    <t>H — CLOSURE &amp; RECLAMATION</t>
  </si>
  <si>
    <t>C-80-002</t>
  </si>
  <si>
    <t>Riprap closure cap D50 300mm — supply+place</t>
  </si>
  <si>
    <t>Long-term erosion protection</t>
  </si>
  <si>
    <t>C-80-003</t>
  </si>
  <si>
    <t>Cover system compacted clay 600mm</t>
  </si>
  <si>
    <t>Perm ≤1x10-7 cm/s; nuclear density</t>
  </si>
  <si>
    <t>C-80-004</t>
  </si>
  <si>
    <t>Topsoil replacement — spread+seed</t>
  </si>
  <si>
    <t>300mm depth; provincial spec</t>
  </si>
  <si>
    <t>C-80-005</t>
  </si>
  <si>
    <t>HDPE cap liner 2mm — supply+install+CQA</t>
  </si>
  <si>
    <t>Closure liner; same as TMF</t>
  </si>
  <si>
    <t>I — BLASTING (FULL SCOPE)</t>
  </si>
  <si>
    <t>B-01-002</t>
  </si>
  <si>
    <t>Drill blast hole 89-115mm — rotary drill</t>
  </si>
  <si>
    <t>—</t>
  </si>
  <si>
    <t>Rate per lineal metre of hole</t>
  </si>
  <si>
    <t>B-01-003</t>
  </si>
  <si>
    <t>Rock blasting — drill+charge+blast+clear (all-in)</t>
  </si>
  <si>
    <t>Full scope; self-perform or sub</t>
  </si>
  <si>
    <t>B-01-004</t>
  </si>
  <si>
    <t>Controlled blasting near structures — presplit</t>
  </si>
  <si>
    <t>Presplit perimeter holes</t>
  </si>
  <si>
    <t>B-01-005</t>
  </si>
  <si>
    <t>Secondary breakage / pop shooting</t>
  </si>
  <si>
    <t>Large boulders</t>
  </si>
  <si>
    <t>J — PERMANENT DEWATERING</t>
  </si>
  <si>
    <t>B-02-002</t>
  </si>
  <si>
    <t>Submersible pump station — small &lt;50 L/s</t>
  </si>
  <si>
    <t>Prepackaged wet well</t>
  </si>
  <si>
    <t>B-02-003</t>
  </si>
  <si>
    <t>Submersible pump station — large &gt;50 L/s</t>
  </si>
  <si>
    <t>Civil structure + mechanical</t>
  </si>
  <si>
    <t>B-02-004</t>
  </si>
  <si>
    <t>Forcemain HDPE 150mm buried — S+I</t>
  </si>
  <si>
    <t>B-02-005</t>
  </si>
  <si>
    <t>Forcemain HDPE 200mm buried — S+I</t>
  </si>
  <si>
    <t>B-02-006</t>
  </si>
  <si>
    <t>Wellpoint dewatering system — install+operate 4wk</t>
  </si>
  <si>
    <t>LS</t>
  </si>
  <si>
    <t>Temp system; open excav near water table</t>
  </si>
  <si>
    <t>K — BURIED SERVICES</t>
  </si>
  <si>
    <t>B-03-002</t>
  </si>
  <si>
    <t>Water line HDPE 150mm buried — S+I</t>
  </si>
  <si>
    <t>B-03-003</t>
  </si>
  <si>
    <t>Water line HDPE 200mm buried — S+I</t>
  </si>
  <si>
    <t>B-03-004</t>
  </si>
  <si>
    <t>Sanitary sewer PVC 150mm buried — S+I</t>
  </si>
  <si>
    <t>Incl. trench, bedding, pipe, BF</t>
  </si>
  <si>
    <t>B-03-005</t>
  </si>
  <si>
    <t>Sanitary manhole precast 1200mm — S+I</t>
  </si>
  <si>
    <t>Incl. excavation, bedding, frame+cover</t>
  </si>
  <si>
    <t>B-03-006</t>
  </si>
  <si>
    <t>Concrete thrust block — supply+form+pour</t>
  </si>
  <si>
    <t>At each bend/tee on pressure main</t>
  </si>
  <si>
    <t>B-03-007</t>
  </si>
  <si>
    <t>Gate valve 150mm buried — S+I</t>
  </si>
  <si>
    <t>Incl. valve box and operating nut</t>
  </si>
  <si>
    <t>B-03-008</t>
  </si>
  <si>
    <t>Hydrant — supply+install</t>
  </si>
  <si>
    <t>Incl. service line, valve, concrete pad</t>
  </si>
  <si>
    <t>L — CONCRETE PAVING &amp; CURBING</t>
  </si>
  <si>
    <t>B-04-002</t>
  </si>
  <si>
    <t>Concrete paving 250mm reinforced — S+P</t>
  </si>
  <si>
    <t>Heavy traffic; light rebar mat</t>
  </si>
  <si>
    <t>B-04-003</t>
  </si>
  <si>
    <t>Concrete curb and gutter — S+F+P</t>
  </si>
  <si>
    <t>Incl. forming, pour, cure</t>
  </si>
  <si>
    <t>B-04-004</t>
  </si>
  <si>
    <t>Concrete wheel wash pad — supply+construct</t>
  </si>
  <si>
    <t>Truckwash; grate+sump+recirculate pump</t>
  </si>
  <si>
    <t>M — FENCING, SECURITY &amp; WILDLIFE</t>
  </si>
  <si>
    <t>B-05-002</t>
  </si>
  <si>
    <t>Chain link fence 2.4m security — S+I</t>
  </si>
  <si>
    <t>Security grade; top barbed wire</t>
  </si>
  <si>
    <t>B-05-003</t>
  </si>
  <si>
    <t>Wildlife exclusion fence 2.4m electrified</t>
  </si>
  <si>
    <t>Grizzly/caribou/wildlife; energizer sep.</t>
  </si>
  <si>
    <t>B-05-004</t>
  </si>
  <si>
    <t>Fence gate single swing 4m — S+I</t>
  </si>
  <si>
    <t>B-05-005</t>
  </si>
  <si>
    <t>Fence gate double swing 8m — S+I</t>
  </si>
  <si>
    <t>Truck gate; drop rod + lock</t>
  </si>
  <si>
    <t>N — SITE SIGNAGE &amp; TRAFFIC MGMT</t>
  </si>
  <si>
    <t>B-06-002</t>
  </si>
  <si>
    <t>Traffic control — flagging (per shift)</t>
  </si>
  <si>
    <t>shift</t>
  </si>
  <si>
    <t>2-person crew with truck; per 10hr shift</t>
  </si>
  <si>
    <t>B-06-003</t>
  </si>
  <si>
    <t>Dust suppression — calcium chloride application</t>
  </si>
  <si>
    <t>Effective 6-8 weeks per application</t>
  </si>
  <si>
    <t>O — ROCK ANCHORS &amp; STABILIZATION</t>
  </si>
  <si>
    <t>B-07-002</t>
  </si>
  <si>
    <t>Rock anchor active tensioned 32mm strand</t>
  </si>
  <si>
    <t>Pre-stressed; headplate; torqued to spec</t>
  </si>
  <si>
    <t>B-07-003</t>
  </si>
  <si>
    <t>Wire mesh rockfall protection — supply+pin</t>
  </si>
  <si>
    <t>Double-twist hex mesh; portal/cut slope</t>
  </si>
  <si>
    <t>B-07-004</t>
  </si>
  <si>
    <t>Shotcrete with fibre 75mm — supply+apply</t>
  </si>
  <si>
    <t>Steel or polypropylene fibre</t>
  </si>
  <si>
    <t>B-07-005</t>
  </si>
  <si>
    <t>Shotcrete with wire mesh 100mm — supply+apply</t>
  </si>
  <si>
    <t>Welded wire mesh embedded; heavy support</t>
  </si>
  <si>
    <t>P — CULVERT STRUCTURES</t>
  </si>
  <si>
    <t>B-08-002</t>
  </si>
  <si>
    <t>Precast box culvert 2400x1800mm — S+I</t>
  </si>
  <si>
    <t>Large watercourse crossing</t>
  </si>
  <si>
    <t>B-08-003</t>
  </si>
  <si>
    <t>Precast arch culvert 3000mm span — S+I</t>
  </si>
  <si>
    <t>Fish habitat; open bottom design</t>
  </si>
  <si>
    <t>B-08-004</t>
  </si>
  <si>
    <t>Headwall concrete — supply+form+pour</t>
  </si>
  <si>
    <t>Poured in place; per end per culvert</t>
  </si>
  <si>
    <t>Q — AGGREGATE CRUSHING ON-SITE</t>
  </si>
  <si>
    <t>B-09-002</t>
  </si>
  <si>
    <t>Crushing — quarry to Granular A/B</t>
  </si>
  <si>
    <t>Operating cost only; excl. mob/demob</t>
  </si>
  <si>
    <t>B-09-003</t>
  </si>
  <si>
    <t>Crushing — quarry to rip-rap D50 150-600mm</t>
  </si>
  <si>
    <t>Incl. scalping and grading</t>
  </si>
  <si>
    <t>R — UNDERGROUND CIVIL</t>
  </si>
  <si>
    <t>U-10-001</t>
  </si>
  <si>
    <t>Shaft sinking 6m dia — D&amp;B incl. ground support</t>
  </si>
  <si>
    <t>Specialty shaft sinking contractor; vertical advance rate 1.5-3 m/day</t>
  </si>
  <si>
    <t>U-10-002</t>
  </si>
  <si>
    <t>Shaft sinking 7m dia — D&amp;B incl. ground support</t>
  </si>
  <si>
    <t>Larger production / service shaft</t>
  </si>
  <si>
    <t>U-10-003</t>
  </si>
  <si>
    <t>Lateral development 5×5 m drift — D&amp;B incl. mucking</t>
  </si>
  <si>
    <t>Advance rate 4-8 m/day depending on rock and ground support</t>
  </si>
  <si>
    <t>U-10-004</t>
  </si>
  <si>
    <t>Lateral development 5×6 m drift — D&amp;B incl. mucking</t>
  </si>
  <si>
    <t>Larger cross-section; ramp / production drift</t>
  </si>
  <si>
    <t>U-10-005</t>
  </si>
  <si>
    <t>Raise bore 3m dia (vent / ore pass)</t>
  </si>
  <si>
    <t>Specialty rig (Atlas/Strata); raise length up to 600 m</t>
  </si>
  <si>
    <t>U-10-006</t>
  </si>
  <si>
    <t>Raise bore 5m dia (intake / exhaust raise)</t>
  </si>
  <si>
    <t>Large diameter; longer reaming time</t>
  </si>
  <si>
    <t>U-10-007</t>
  </si>
  <si>
    <t>Ground support — rock bolts 2.4m resin-grouted</t>
  </si>
  <si>
    <t>Standard pattern bolting; 1.0-1.5 m grid</t>
  </si>
  <si>
    <t>U-10-008</t>
  </si>
  <si>
    <t>Ground support — shotcrete with mesh 75-100mm UG</t>
  </si>
  <si>
    <t>Wet-mix shotcrete with robot arm; mesh embedded</t>
  </si>
  <si>
    <t>U-10-009</t>
  </si>
  <si>
    <t>Ground support — fibre shotcrete 75mm UG</t>
  </si>
  <si>
    <t>Steel or polypropylene fibre; no mesh</t>
  </si>
  <si>
    <t>U-10-010</t>
  </si>
  <si>
    <t>Cable bolts 12m twin-strand grouted</t>
  </si>
  <si>
    <t>Long-term ground support; intersections, large openings</t>
  </si>
  <si>
    <t>U-10-011</t>
  </si>
  <si>
    <t>Mucking and tramming — load and haul UG 1-2 km</t>
  </si>
  <si>
    <t>LHD scoop + truck haul to ore pass / shaft</t>
  </si>
  <si>
    <t>U-10-012</t>
  </si>
  <si>
    <t>Stope backfill — paste fill placement</t>
  </si>
  <si>
    <t>From surface paste plant; piped distribution</t>
  </si>
  <si>
    <t>S — TAILINGS DAM ZONED CONSTRUCTION</t>
  </si>
  <si>
    <t>T-20-001</t>
  </si>
  <si>
    <t>Starter dam — Zone A core (low-perm clay)</t>
  </si>
  <si>
    <t>300mm lifts; nuclear density; Atterberg + perm tests</t>
  </si>
  <si>
    <t>T-20-002</t>
  </si>
  <si>
    <t>Starter dam — Zone B filter fine (transition)</t>
  </si>
  <si>
    <t>Filter rule compliant; processed quarry sand</t>
  </si>
  <si>
    <t>T-20-003</t>
  </si>
  <si>
    <t>Starter dam — Zone C filter coarse (drainage)</t>
  </si>
  <si>
    <t>Clean crushed; &gt;5x Zone B D85</t>
  </si>
  <si>
    <t>T-20-004</t>
  </si>
  <si>
    <t>Starter dam — Zone D random rockfill (downstream)</t>
  </si>
  <si>
    <t>Site-won rockfill; 500mm lifts; vibrating roller</t>
  </si>
  <si>
    <t>T-20-005</t>
  </si>
  <si>
    <t>Dam raise — centerline construction per lift</t>
  </si>
  <si>
    <t>Subsequent raises; mixed zone construction</t>
  </si>
  <si>
    <t>T-20-006</t>
  </si>
  <si>
    <t>Dam raise — downstream construction per lift</t>
  </si>
  <si>
    <t>Most conservative; preferred for high-risk dams</t>
  </si>
  <si>
    <t>T-20-007</t>
  </si>
  <si>
    <t>Internal drainage — chimney drain construction</t>
  </si>
  <si>
    <t>Vertical drain chimney; clean crushed; geotextile wrap</t>
  </si>
  <si>
    <t>T-20-008</t>
  </si>
  <si>
    <t>Toe drain — supply+install with geotextile sock</t>
  </si>
  <si>
    <t>Perforated HDPE in clean crushed; outflow monitoring</t>
  </si>
  <si>
    <t>T-20-009</t>
  </si>
  <si>
    <t>Dam instrumentation — VW piezometer installation</t>
  </si>
  <si>
    <t>Geokon vibrating wire; surface readout</t>
  </si>
  <si>
    <t>T-20-010</t>
  </si>
  <si>
    <t>Dam instrumentation — inclinometer installation</t>
  </si>
  <si>
    <t>Slope-displacement monitoring; up to 50m casing</t>
  </si>
  <si>
    <t>T-20-011</t>
  </si>
  <si>
    <t>Dam instrumentation — survey monument installation</t>
  </si>
  <si>
    <t>Prism + concrete pin; monthly survey</t>
  </si>
  <si>
    <t>T-20-012</t>
  </si>
  <si>
    <t>Spillway — concrete-lined emergency overflow</t>
  </si>
  <si>
    <t>Reinforced concrete; designed for PMF or 1:10000</t>
  </si>
  <si>
    <t>T-20-013</t>
  </si>
  <si>
    <t>Reclaim barge — supply+install (tailings pond)</t>
  </si>
  <si>
    <t>Floating barge with vertical turbine pump; mech sub</t>
  </si>
  <si>
    <t>T — HEAP LEACH PAD CONSTRUCTION</t>
  </si>
  <si>
    <t>H-30-001</t>
  </si>
  <si>
    <t>Pad sub-grade prep — cut/fill/compact to 95% Proctor</t>
  </si>
  <si>
    <t>Surface tolerance ±15mm; nuclear density</t>
  </si>
  <si>
    <t>H-30-002</t>
  </si>
  <si>
    <t>Low-perm clay liner 300mm (secondary containment)</t>
  </si>
  <si>
    <t>K ≤1×10⁻⁹ m/s; nuclear density + perm tests</t>
  </si>
  <si>
    <t>H-30-003</t>
  </si>
  <si>
    <t>Primary HDPE liner 80 mil — supply+install+CQA</t>
  </si>
  <si>
    <t>Double-textured; LLDPE for slopes; full CQA</t>
  </si>
  <si>
    <t>H-30-004</t>
  </si>
  <si>
    <t>Secondary HDPE liner 60 mil — supply+install+CQA</t>
  </si>
  <si>
    <t>Double-liner system; leak detection between</t>
  </si>
  <si>
    <t>H-30-005</t>
  </si>
  <si>
    <t>Geonet drainage layer between liners — S+I</t>
  </si>
  <si>
    <t>Leak detection drainage path</t>
  </si>
  <si>
    <t>H-30-006</t>
  </si>
  <si>
    <t>Drain rock cover 300mm — supply+place over primary</t>
  </si>
  <si>
    <t>Clean crushed 19-50mm; placed by low-ground-pressure dozer</t>
  </si>
  <si>
    <t>H-30-007</t>
  </si>
  <si>
    <t>HDPE perforated collection manifold 150-200mm — S+I</t>
  </si>
  <si>
    <t>In drain rock layer; piped to PLS pond</t>
  </si>
  <si>
    <t>H-30-008</t>
  </si>
  <si>
    <t>Pregnant solution (PLS) pond construction — multi-liner</t>
  </si>
  <si>
    <t>Same multi-liner system; tertiary GCL</t>
  </si>
  <si>
    <t>H-30-009</t>
  </si>
  <si>
    <t>Solution piping HDPE 200mm — S+I (header to pad)</t>
  </si>
  <si>
    <t>Above-grade; insulated for cold climates</t>
  </si>
  <si>
    <t>H-30-010</t>
  </si>
  <si>
    <t>Drip irrigation network — supply+install per ha</t>
  </si>
  <si>
    <t>ha</t>
  </si>
  <si>
    <t>Per hectare of pad surface; emitter density site-specific</t>
  </si>
  <si>
    <t>U — PROCESS PLANT CIVIL</t>
  </si>
  <si>
    <t>P-40-001</t>
  </si>
  <si>
    <t>Mill foundation — large mat (semi-autogenous)</t>
  </si>
  <si>
    <t>Mass concrete pour; cooling pipes; 40 MPa min</t>
  </si>
  <si>
    <t>P-40-002</t>
  </si>
  <si>
    <t>Mill foundation — ball mill (smaller)</t>
  </si>
  <si>
    <t>Reinforced mat; vibration design</t>
  </si>
  <si>
    <t>P-40-003</t>
  </si>
  <si>
    <t>Primary crusher foundation — pier + mat</t>
  </si>
  <si>
    <t>Heavy reinforcement; isolation joints</t>
  </si>
  <si>
    <t>P-40-004</t>
  </si>
  <si>
    <t>SAG mill apron feeder pit excavation + concrete</t>
  </si>
  <si>
    <t>Below-grade structure; dewatering required</t>
  </si>
  <si>
    <t>P-40-005</t>
  </si>
  <si>
    <t>Conveyor gallery footings — incl. excavation+concrete</t>
  </si>
  <si>
    <t>Per support; spacing 18-30m typical</t>
  </si>
  <si>
    <t>P-40-006</t>
  </si>
  <si>
    <t>Conveyor head pulley structure — pad+drainage</t>
  </si>
  <si>
    <t>Includes drainage trench + access</t>
  </si>
  <si>
    <t>P-40-007</t>
  </si>
  <si>
    <t>Ore stockpile reclaim tunnel — cast-in-place concrete</t>
  </si>
  <si>
    <t>5×6 m internal; rebar heavy; designed for stockpile load</t>
  </si>
  <si>
    <t>P-40-008</t>
  </si>
  <si>
    <t>Thickener foundation — circular ring beam + center column</t>
  </si>
  <si>
    <t>Per thickener; size-dependent (30-60m dia)</t>
  </si>
  <si>
    <t>P-40-009</t>
  </si>
  <si>
    <t>Flotation cell foundation — multi-cell platform</t>
  </si>
  <si>
    <t>Reinforced slab on elevated structural steel</t>
  </si>
  <si>
    <t>P-40-010</t>
  </si>
  <si>
    <t>Tank farm containment — secondary bund (oil/reagent)</t>
  </si>
  <si>
    <t>Concrete walls + coated floor; spill volume design</t>
  </si>
  <si>
    <t>P-40-011</t>
  </si>
  <si>
    <t>Process building slab on grade — 250mm with rebar mat</t>
  </si>
  <si>
    <t>Industrial slab; trench drains + sumps</t>
  </si>
  <si>
    <t>V — SLURRY / CONCENTRATE / FUEL PIPELINE</t>
  </si>
  <si>
    <t>SP-50-001</t>
  </si>
  <si>
    <t>Pipeline ROW clearing + grading per km</t>
  </si>
  <si>
    <t>km</t>
  </si>
  <si>
    <t>30m corridor; light bush; remove timber</t>
  </si>
  <si>
    <t>SP-50-002</t>
  </si>
  <si>
    <t>Pipeline trench 1.5m depth — excavation only</t>
  </si>
  <si>
    <t>Common soil; rock additive</t>
  </si>
  <si>
    <t>SP-50-003</t>
  </si>
  <si>
    <t>HDPE slurry pipe 250mm SDR 11 — supply</t>
  </si>
  <si>
    <t>PE100 PE4710; abrasion-resistant grade</t>
  </si>
  <si>
    <t>SP-50-004</t>
  </si>
  <si>
    <t>HDPE slurry pipe 400mm SDR 11 — supply</t>
  </si>
  <si>
    <t>Larger diameter; project-specific RFQ</t>
  </si>
  <si>
    <t>SP-50-005</t>
  </si>
  <si>
    <t>Steel slurry pipe 300mm Sch 80 (high pressure)</t>
  </si>
  <si>
    <t>Carbon steel; for &gt;12 bar service</t>
  </si>
  <si>
    <t>SP-50-006</t>
  </si>
  <si>
    <t>Pipeline install incl. fusion/weld + lay</t>
  </si>
  <si>
    <t>Trench-lay + tie-in; varies by pipe size/material</t>
  </si>
  <si>
    <t>SP-50-007</t>
  </si>
  <si>
    <t>Pipeline pigging launcher/receiver station</t>
  </si>
  <si>
    <t>Skid-mounted; flanged tie-in; concrete pad</t>
  </si>
  <si>
    <t>SP-50-008</t>
  </si>
  <si>
    <t>Pipeline valve station incl. concrete pad + fence</t>
  </si>
  <si>
    <t>Block + actuator valves; typically every 5-10 km</t>
  </si>
  <si>
    <t>SP-50-009</t>
  </si>
  <si>
    <t>Pipeline cathodic protection system — per km</t>
  </si>
  <si>
    <t>Sacrificial anodes + test stations; carbon steel only</t>
  </si>
  <si>
    <t>SP-50-010</t>
  </si>
  <si>
    <t>River / road crossing — horizontal directional drill</t>
  </si>
  <si>
    <t>Specialty sub; rates per length of bore</t>
  </si>
  <si>
    <t>W — MINE SITE BRIDGES &amp; CROSSINGS</t>
  </si>
  <si>
    <t>BR-60-001</t>
  </si>
  <si>
    <t>Modular steel bridge ≤20 m span — S+I</t>
  </si>
  <si>
    <t>Bailey-style or fabricated; light vehicle</t>
  </si>
  <si>
    <t>BR-60-002</t>
  </si>
  <si>
    <t>Cast-in-place concrete bridge 15-25 m span — S+I</t>
  </si>
  <si>
    <t>m2 deck</t>
  </si>
  <si>
    <t>Single span; concrete abutments + deck</t>
  </si>
  <si>
    <t>BR-60-003</t>
  </si>
  <si>
    <t>Mine haul road bridge 30-50 m — S+I</t>
  </si>
  <si>
    <t>Heavy axle load design; reinforced abutments</t>
  </si>
  <si>
    <t>BR-60-004</t>
  </si>
  <si>
    <t>Bridge abutment — concrete cast-in-place (each)</t>
  </si>
  <si>
    <t>Heavy reinforcement; soil pressure design</t>
  </si>
  <si>
    <t>BR-60-005</t>
  </si>
  <si>
    <t>Bridge pier — concrete cast-in-place (each)</t>
  </si>
  <si>
    <t>Pier + cap; underwater work additive</t>
  </si>
  <si>
    <t>BR-60-006</t>
  </si>
  <si>
    <t>Large precast box culvert 3000×2400 mm — S+I</t>
  </si>
  <si>
    <t>Heavy lift; crane + bedding; per linear m</t>
  </si>
  <si>
    <t>X — POWER LINE &amp; SUBSTATION CIVIL</t>
  </si>
  <si>
    <t>EL-70-001</t>
  </si>
  <si>
    <t>Tower foundation — concrete pier (138 kV transmission)</t>
  </si>
  <si>
    <t>Per tower; 4-leg lattice; pier+cap typical</t>
  </si>
  <si>
    <t>EL-70-002</t>
  </si>
  <si>
    <t>Tower foundation — concrete pier (240 kV transmission)</t>
  </si>
  <si>
    <t>Larger; deeper footing; engineered per tower</t>
  </si>
  <si>
    <t>EL-70-003</t>
  </si>
  <si>
    <t>Distribution pole foundation — drilled + concrete</t>
  </si>
  <si>
    <t>Per pole; ≤25 m distribution lines</t>
  </si>
  <si>
    <t>EL-70-004</t>
  </si>
  <si>
    <t>Substation pad — granular sub-base + crushed surface</t>
  </si>
  <si>
    <t>Per substation footprint; resistivity-controlled</t>
  </si>
  <si>
    <t>EL-70-005</t>
  </si>
  <si>
    <t>Substation control building slab + foundation</t>
  </si>
  <si>
    <t>Industrial slab with cable trenches</t>
  </si>
  <si>
    <t>EL-70-006</t>
  </si>
  <si>
    <t>Substation grounding grid — copper mat install</t>
  </si>
  <si>
    <t>Cu cable grid + ground rods; tested resistivity</t>
  </si>
  <si>
    <t>EL-70-007</t>
  </si>
  <si>
    <t>Transmission line ROW clearing 50 m wide per km</t>
  </si>
  <si>
    <t>Light bush; remove timber to sale; access trail</t>
  </si>
  <si>
    <t>Y — HYDRAULIC STRUCTURES</t>
  </si>
  <si>
    <t>HY-80-001</t>
  </si>
  <si>
    <t>Diversion channel excavation common soil — trapezoidal</t>
  </si>
  <si>
    <t>Designed channel cross-section; bottom grade controlled</t>
  </si>
  <si>
    <t>HY-80-002</t>
  </si>
  <si>
    <t>Diversion channel — riprap class A (D50 150mm) lining</t>
  </si>
  <si>
    <t>Slope and bed armouring</t>
  </si>
  <si>
    <t>HY-80-003</t>
  </si>
  <si>
    <t>Diversion channel — riprap class B (D50 300mm) lining</t>
  </si>
  <si>
    <t>Higher velocity channel</t>
  </si>
  <si>
    <t>HY-80-004</t>
  </si>
  <si>
    <t>Diversion channel — riprap class C (D50 600mm) lining</t>
  </si>
  <si>
    <t>Extreme flow protection; large quarry-run</t>
  </si>
  <si>
    <t>HY-80-005</t>
  </si>
  <si>
    <t>Energy dissipator — concrete chute with baffles</t>
  </si>
  <si>
    <t>Stilling basin or baffle chute; engineered geometry</t>
  </si>
  <si>
    <t>HY-80-006</t>
  </si>
  <si>
    <t>Spillway weir — concrete crest with rebar</t>
  </si>
  <si>
    <t>Ogee or broad-crested; engineered to design flow</t>
  </si>
  <si>
    <t>HY-80-007</t>
  </si>
  <si>
    <t>Diversion inlet structure — concrete + trash rack</t>
  </si>
  <si>
    <t>Per inlet; size-dependent (typ 2-5 m wide)</t>
  </si>
  <si>
    <t>HY-80-008</t>
  </si>
  <si>
    <t>Geotextile underlayer under riprap (filter fabric)</t>
  </si>
  <si>
    <t>12 oz non-woven; ASTM AOS-spec</t>
  </si>
  <si>
    <t>HY-80-009</t>
  </si>
  <si>
    <t>Diversion ditch — small unlined common section</t>
  </si>
  <si>
    <t>Field ditches; minor catchment</t>
  </si>
  <si>
    <t>Notes: 'Total LOW/HIGH' = all-in unit price already including labour + equipment + material + subcontract + CDI (where shown). For Rev G items (sections I–Q) build-up columns are not decomposed in source — use the Unit Rate Build-Up Calculator (Sheet 09) to reverse-engineer if required. 'DG %' = design growth (apply to quantity, see Sheet 03). 'Wastage %' = apply to material take-off. 'Crew' = SME-typical crew code (Sheet 04).</t>
  </si>
  <si>
    <t>UNIT RATE BUILD-UP CALCULATOR [TEMPLATE — enter inputs in blue cells]</t>
  </si>
  <si>
    <t>Field</t>
  </si>
  <si>
    <t>Input / Value</t>
  </si>
  <si>
    <t>Source / Reference</t>
  </si>
  <si>
    <t>WBS reference (e.g. C-30-002)</t>
  </si>
  <si>
    <t>&lt;enter&gt;</t>
  </si>
  <si>
    <t>Project WBS code</t>
  </si>
  <si>
    <t>Item description</t>
  </si>
  <si>
    <t>Plain English</t>
  </si>
  <si>
    <t>Unit of measure (UOM)</t>
  </si>
  <si>
    <t>m3, m2, m, tonne, ea, LS</t>
  </si>
  <si>
    <t>Crew code (B1–N1)</t>
  </si>
  <si>
    <t>From Sheet 04</t>
  </si>
  <si>
    <t>Crew total rate ($/hr)</t>
  </si>
  <si>
    <t>From Sheet 04 — 2026 Total</t>
  </si>
  <si>
    <t>Unit MH per UOM</t>
  </si>
  <si>
    <t>Time per unit; SME baseline 0.08-0.50</t>
  </si>
  <si>
    <t>Productivity factor (0.80–1.00)</t>
  </si>
  <si>
    <t>Reduces idealized output to realistic</t>
  </si>
  <si>
    <t>Crew cost per unit ($) [calculated]</t>
  </si>
  <si>
    <t>= Unit MH / Prod × Crew $/hr</t>
  </si>
  <si>
    <t>Unit material cost ($)</t>
  </si>
  <si>
    <t>Supplied + delivered</t>
  </si>
  <si>
    <t>Material wastage (%)</t>
  </si>
  <si>
    <t>From Sheet 03 — 0% to 15% typical</t>
  </si>
  <si>
    <t>Adjusted material cost ($) [calc]</t>
  </si>
  <si>
    <t>= Mat × (1+wastage)</t>
  </si>
  <si>
    <t>Unit subcontract cost ($)</t>
  </si>
  <si>
    <t>Per sub quote; bare cost</t>
  </si>
  <si>
    <t>Contractor Distributable Indirect (CDI) %</t>
  </si>
  <si>
    <t>From Sheet 11 — 6-10% typical</t>
  </si>
  <si>
    <t>Subtotal direct + CDI ($) [calc]</t>
  </si>
  <si>
    <t>= (Crew+Mat+Sub) × (1+CDI)</t>
  </si>
  <si>
    <t>Design growth (Class 3 baseline) %</t>
  </si>
  <si>
    <t>From Sheet 03 — 2-20% by class</t>
  </si>
  <si>
    <t>Regional adjustor (e.g. 1.10)</t>
  </si>
  <si>
    <t>From Sheet 14 — 1.00 to 1.55</t>
  </si>
  <si>
    <t>FINAL UNIT RATE BEFORE MARKUP STACK ($) [calc]</t>
  </si>
  <si>
    <t>= Subtotal × (1+DG) × Regional adjustor</t>
  </si>
  <si>
    <t>[TEMPLATE] This calculator builds a single direct unit rate. The 6-layer markup stack (OH, Bond/Ins, Contingency, Profit) is applied at project roll-up (Sheet 21). For Sheet 08 entries already include CDI in the LOW/HIGH columns. For subcontract-dominant work (e.g. blasting, liner) set Unit MH=0 and place sub quote in Subcontract row.</t>
  </si>
  <si>
    <t>BID SCREENING — UNIT COST SENSE-CHECKS — CANADA 2026 — SOURCE: Rev G Bid Screening tab</t>
  </si>
  <si>
    <t>Category</t>
  </si>
  <si>
    <t>Benchmark Item</t>
  </si>
  <si>
    <t>Floor (CAD)</t>
  </si>
  <si>
    <t>Ceiling (CAD)</t>
  </si>
  <si>
    <t>Bid Screening Guidance</t>
  </si>
  <si>
    <t>EARTHWORKS</t>
  </si>
  <si>
    <t>Mass earthworks — rock (blasted)</t>
  </si>
  <si>
    <t>$/m3</t>
  </si>
  <si>
    <t>Includes drill, blast, load, haul 1km</t>
  </si>
  <si>
    <t>Engineered fill compacted Zone A/B</t>
  </si>
  <si>
    <t>Material, place, compact, test</t>
  </si>
  <si>
    <t>Granular road base 150mm</t>
  </si>
  <si>
    <t>$/m2</t>
  </si>
  <si>
    <t>Supply+place+compact; material included</t>
  </si>
  <si>
    <t>Haul road full build (sub-grade to surface)</t>
  </si>
  <si>
    <t>Strip and grub per hectare</t>
  </si>
  <si>
    <t>$/ha</t>
  </si>
  <si>
    <t>Light bush; add for rock; add for timber</t>
  </si>
  <si>
    <t>WRSA / TMF</t>
  </si>
  <si>
    <t>TMF embankment engineered fill</t>
  </si>
  <si>
    <t>Zone A/B compacted; nuclear density testing</t>
  </si>
  <si>
    <t>HDPE liner 2mm supply+install</t>
  </si>
  <si>
    <t>Full scope incl. CQA; verify CQA included</t>
  </si>
  <si>
    <t>TMF perimeter ditch riprap lined</t>
  </si>
  <si>
    <t>$/m</t>
  </si>
  <si>
    <t>If below $280 likely missing riprap lining</t>
  </si>
  <si>
    <t>DRAINAGE</t>
  </si>
  <si>
    <t>CSP culvert 1200mm supply+install</t>
  </si>
  <si>
    <t>HDPE 150mm above grade insulated</t>
  </si>
  <si>
    <t>If below $230 check insulation is included</t>
  </si>
  <si>
    <t>Flow guard 600mm supply+install</t>
  </si>
  <si>
    <t>$/ea</t>
  </si>
  <si>
    <t>Flow guard 1200mm supply+install</t>
  </si>
  <si>
    <t>CONCRETE</t>
  </si>
  <si>
    <t>Concrete foundation/wall</t>
  </si>
  <si>
    <t>Formed; higher labour content</t>
  </si>
  <si>
    <t>Shotcrete with fibre 75mm</t>
  </si>
  <si>
    <t>If below $90 check mix design and CQA</t>
  </si>
  <si>
    <t>Rebar supply+install</t>
  </si>
  <si>
    <t>$/tonne</t>
  </si>
  <si>
    <t>CBSA 25% surtax; verify Canadian/US source</t>
  </si>
  <si>
    <t>BLASTING</t>
  </si>
  <si>
    <t>Pre-blast survey per structure</t>
  </si>
  <si>
    <t>$/struct</t>
  </si>
  <si>
    <t>Mandatory; missing = liability exposure</t>
  </si>
  <si>
    <t>FENCING</t>
  </si>
  <si>
    <t>Wildlife exclusion electrified 2.4m</t>
  </si>
  <si>
    <t>Energizer and monitoring system separate</t>
  </si>
  <si>
    <t>BURIED SERVICES</t>
  </si>
  <si>
    <t>Sanitary manhole precast 1200mm</t>
  </si>
  <si>
    <t>OVERHEAD CHECK</t>
  </si>
  <si>
    <t>Contractor OH+profit — $50M project</t>
  </si>
  <si>
    <t>% of dir.</t>
  </si>
  <si>
    <t>14%</t>
  </si>
  <si>
    <t>22%</t>
  </si>
  <si>
    <t>Scale efficiency on larger projects</t>
  </si>
  <si>
    <t>Performance + L&amp;M bond (&gt;$25M)</t>
  </si>
  <si>
    <t>% of cont.</t>
  </si>
  <si>
    <t>0.75%</t>
  </si>
  <si>
    <t>1.25%</t>
  </si>
  <si>
    <t>Check surety capacity and history</t>
  </si>
  <si>
    <t>CONTRACTOR INDIRECTS (CDI) &amp; OVERHEAD BUILD-UP — CANADA 2026 — SOURCE: Rev G Overhead Build-Up tab</t>
  </si>
  <si>
    <t>2026 Low (CAD)</t>
  </si>
  <si>
    <t>2026 High (CAD)</t>
  </si>
  <si>
    <t>FIELD OFFICE &amp; SITE ESTABLISHMENT</t>
  </si>
  <si>
    <t>Site trailer — lunchroom/dryroom</t>
  </si>
  <si>
    <t>month</t>
  </si>
  <si>
    <t>Temporary power — generator 100kW diesel</t>
  </si>
  <si>
    <t>Incl. fuel; or hook-up to utility sep.</t>
  </si>
  <si>
    <t>Temp power — 250kW generator large camp</t>
  </si>
  <si>
    <t>Site IT, internet and communication</t>
  </si>
  <si>
    <t>Starlink or repeater; rural mine sites</t>
  </si>
  <si>
    <t>Site vehicle — project truck leased</t>
  </si>
  <si>
    <t>Per PU truck; fuel separate</t>
  </si>
  <si>
    <t>Site vehicle — crew bus leased</t>
  </si>
  <si>
    <t>20-seat; daily crew transport</t>
  </si>
  <si>
    <t>Mob/demob — site setup and teardown</t>
  </si>
  <si>
    <t>All temp facilities; charged once</t>
  </si>
  <si>
    <t>PROJECT MANAGEMENT STAFF</t>
  </si>
  <si>
    <t>Senior Project Engineer</t>
  </si>
  <si>
    <t>Field Engineer / QC Engineer</t>
  </si>
  <si>
    <t>Site Safety Officer (NCSO certified)</t>
  </si>
  <si>
    <t>Dedicated; mandatory &gt;20 workers</t>
  </si>
  <si>
    <t>Senior Superintendent</t>
  </si>
  <si>
    <t>Document Controller / Field Admin</t>
  </si>
  <si>
    <t>QUALITY CONTROL &amp; TESTING</t>
  </si>
  <si>
    <t>Nuclear density testing — crew/day</t>
  </si>
  <si>
    <t>day</t>
  </si>
  <si>
    <t>One tech; one nuclear gauge</t>
  </si>
  <si>
    <t>Concrete cylinder testing — per set</t>
  </si>
  <si>
    <t>set</t>
  </si>
  <si>
    <t>4 cylinders; 28-day break; per pour</t>
  </si>
  <si>
    <t>Aggregate gradation testing</t>
  </si>
  <si>
    <t>test</t>
  </si>
  <si>
    <t>Per material source change or 500 tonne</t>
  </si>
  <si>
    <t>Geomembrane weld testing (spark test)</t>
  </si>
  <si>
    <t>m weld</t>
  </si>
  <si>
    <t>100% of seams; third-party CQA</t>
  </si>
  <si>
    <t>Survey control — survey crew/day</t>
  </si>
  <si>
    <t>Layout, grades, as-builts</t>
  </si>
  <si>
    <t>ENVIRONMENTAL COMPLIANCE</t>
  </si>
  <si>
    <t>Spill kit and containment supplies</t>
  </si>
  <si>
    <t>Per site regulation; replenished monthly</t>
  </si>
  <si>
    <t>Environmental monitoring (water sampling)</t>
  </si>
  <si>
    <t>sample</t>
  </si>
  <si>
    <t>Lab analysis; site discharge monitoring</t>
  </si>
  <si>
    <t>Environmental coordinator (part-time)</t>
  </si>
  <si>
    <t>Required near watercourse crossings</t>
  </si>
  <si>
    <t>COMPANY HEAD OFFICE OVERHEAD</t>
  </si>
  <si>
    <t>Warranty/deficiency holdback allowance</t>
  </si>
  <si>
    <t>0.5%</t>
  </si>
  <si>
    <t>1.0%</t>
  </si>
  <si>
    <t>12-month deficiency period</t>
  </si>
  <si>
    <t>CDI typical totals at bid stage: 12-18% of direct cost for mid-size mining civil. Overhead (Sheet 15 markup) is additional. Camp/LOA cost (see Sheet 05 O2/O3) is shown separately when used and is not duplicated here.</t>
  </si>
  <si>
    <t>BONDING &amp; INSURANCE RATES — CANADA 2026 — SOURCE: Rev G Bonding &amp; Insurance tab</t>
  </si>
  <si>
    <t>Rate Low</t>
  </si>
  <si>
    <t>Rate High</t>
  </si>
  <si>
    <t>SURETY BONDS</t>
  </si>
  <si>
    <t>Performance Bond — small contract (&lt;$5M)</t>
  </si>
  <si>
    <t>% of contract</t>
  </si>
  <si>
    <t>1.5%</t>
  </si>
  <si>
    <t>2.5%</t>
  </si>
  <si>
    <t>Higher rate for smaller contracts</t>
  </si>
  <si>
    <t>Performance Bond — medium ($5-$25M)</t>
  </si>
  <si>
    <t>1.8%</t>
  </si>
  <si>
    <t>Mid-tier; established contractor</t>
  </si>
  <si>
    <t>Performance Bond — large (&gt;$25M)</t>
  </si>
  <si>
    <t>Volume discount; strong surety history</t>
  </si>
  <si>
    <t>Labour &amp; Material Payment Bond</t>
  </si>
  <si>
    <t>Required CCDC 2; bundled w/ perf bond</t>
  </si>
  <si>
    <t>Maintenance/Warranty Bond — 12 month</t>
  </si>
  <si>
    <t>Some mining owners require</t>
  </si>
  <si>
    <t>Surety capacity rule of thumb</t>
  </si>
  <si>
    <t>Max single contract</t>
  </si>
  <si>
    <t>10x NWC</t>
  </si>
  <si>
    <t>Surety evaluates Character/Capacity/Capital</t>
  </si>
  <si>
    <t>LIABILITY INSURANCE</t>
  </si>
  <si>
    <t>Commercial General Liability (CGL)</t>
  </si>
  <si>
    <t>Per $1,000 payroll</t>
  </si>
  <si>
    <t>$5</t>
  </si>
  <si>
    <t>$8</t>
  </si>
  <si>
    <t>Standard mining-civil contractor CGL; bid-stage rate</t>
  </si>
  <si>
    <t>Excess / Umbrella Liability</t>
  </si>
  <si>
    <t>Annual policy</t>
  </si>
  <si>
    <t>$8,500</t>
  </si>
  <si>
    <t>$22,000</t>
  </si>
  <si>
    <t>$5M–$25M limits common on mining heavy civil</t>
  </si>
  <si>
    <t>Contractor's Pollution Liability</t>
  </si>
  <si>
    <t>$1,500</t>
  </si>
  <si>
    <t>$3,500</t>
  </si>
  <si>
    <t>Fuel/chemical spill; liner failure; contamination</t>
  </si>
  <si>
    <t>Builder's Risk / Course of Construction</t>
  </si>
  <si>
    <t>% of contract value</t>
  </si>
  <si>
    <t>0.15%</t>
  </si>
  <si>
    <t>0.35%</t>
  </si>
  <si>
    <t>Owner often requires; covers in-progress works</t>
  </si>
  <si>
    <t>WCB</t>
  </si>
  <si>
    <t>Labourer — Alberta WCB Industry 41</t>
  </si>
  <si>
    <t>Per $100 payroll</t>
  </si>
  <si>
    <t>$3.80</t>
  </si>
  <si>
    <t>$5.20</t>
  </si>
  <si>
    <t>Lower than eastern provinces</t>
  </si>
  <si>
    <t>Labourer — BC WorkSafeBC Class 711001</t>
  </si>
  <si>
    <t>$4.50</t>
  </si>
  <si>
    <t>$6.00</t>
  </si>
  <si>
    <t>2026 WorkSafeBC</t>
  </si>
  <si>
    <t>Labourer — NS WCB NS</t>
  </si>
  <si>
    <t>$5.50</t>
  </si>
  <si>
    <t>Atlantic Canada</t>
  </si>
  <si>
    <t>Labourer — NL WorkplaceNL</t>
  </si>
  <si>
    <t>$4.00</t>
  </si>
  <si>
    <t>$5.80</t>
  </si>
  <si>
    <t>2026 WorkplaceNL</t>
  </si>
  <si>
    <t>Labourer — Quebec CNESST</t>
  </si>
  <si>
    <t>$8.00</t>
  </si>
  <si>
    <t>Higher than national average</t>
  </si>
  <si>
    <t>Labourer — Ontario WSIB Class G1 (heavy civil)</t>
  </si>
  <si>
    <t>$6.80</t>
  </si>
  <si>
    <t>2026 WSIB; mining-civil rate group</t>
  </si>
  <si>
    <t>Equipment Operator — all provinces</t>
  </si>
  <si>
    <t>$3.50</t>
  </si>
  <si>
    <t>$5.00</t>
  </si>
  <si>
    <t>Lower risk class than labourer</t>
  </si>
  <si>
    <t>Blaster / Driller — elevated risk</t>
  </si>
  <si>
    <t>Elevated risk classification</t>
  </si>
  <si>
    <t>PROPERTY INSURANCE</t>
  </si>
  <si>
    <t>Contractor's Equipment Floater</t>
  </si>
  <si>
    <t>% of fleet repl/yr</t>
  </si>
  <si>
    <t>1.2%</t>
  </si>
  <si>
    <t>Check if already in equipment hourly rate</t>
  </si>
  <si>
    <t>Typical bid stage: Bonding 1.5-3.0% of contract (perf + L&amp;M + warranty bundled); General Liability ~$5-$8 / $1,000 payroll; Builder's Risk 0.15-0.35% of contract value. WCB is province-specific — confirm classification and base rate before pricing.</t>
  </si>
  <si>
    <t>STANDBY RATES &amp; SCHEDULE COST DRIVERS — CANADA 2026 — SOURCE: Rev G Standby &amp; Schedule tab</t>
  </si>
  <si>
    <t>EQUIPMENT STANDBY RATES</t>
  </si>
  <si>
    <t>Excavator 20-25T (Cat 320) — standby</t>
  </si>
  <si>
    <t>hr</t>
  </si>
  <si>
    <t>Excavator 35-40T (Cat 336) — standby</t>
  </si>
  <si>
    <t>Track dozer D8T — standby</t>
  </si>
  <si>
    <t>Motor grader Cat 140M — standby</t>
  </si>
  <si>
    <t>Rough terrain crane RT 60T — standby</t>
  </si>
  <si>
    <t>Minimum 4hr call-out</t>
  </si>
  <si>
    <t>Crawler crane 150T — standby</t>
  </si>
  <si>
    <t>Minimum 4hr call-out; rigging crew separate</t>
  </si>
  <si>
    <t>Tandem dump truck — standby</t>
  </si>
  <si>
    <t>Operator + idle truck; per hour</t>
  </si>
  <si>
    <t>Tri-axle dump truck — standby</t>
  </si>
  <si>
    <t>Wheel loader Cat 950M — standby</t>
  </si>
  <si>
    <t>Operator + idle equipment</t>
  </si>
  <si>
    <t>Compactor / roller — standby</t>
  </si>
  <si>
    <t>LABOUR STANDBY RATES</t>
  </si>
  <si>
    <t>Equipment operator — standby</t>
  </si>
  <si>
    <t>Full burdened; equipment idle alongside</t>
  </si>
  <si>
    <t>Labourer — standby</t>
  </si>
  <si>
    <t>Full burdened; weather/owner hold</t>
  </si>
  <si>
    <t>Foreman / lead — standby</t>
  </si>
  <si>
    <t>Full burdened; site retained during hold</t>
  </si>
  <si>
    <t>Project Manager — holding cost per week</t>
  </si>
  <si>
    <t>week</t>
  </si>
  <si>
    <t>Senior PE/PM retained per Sheet 11; full burdened</t>
  </si>
  <si>
    <t>Superintendent — holding cost per week</t>
  </si>
  <si>
    <t>Senior super retained per Sheet 11</t>
  </si>
  <si>
    <t>Crew standby — B3 heavy civil crew of 10</t>
  </si>
  <si>
    <t>Full crew retained; weather hold or owner delay</t>
  </si>
  <si>
    <t>DELAY / ACCELERATION PREMIUMS</t>
  </si>
  <si>
    <t>Overtime premium — time-and-a-half (1.5x)</t>
  </si>
  <si>
    <t>% add</t>
  </si>
  <si>
    <t>50%</t>
  </si>
  <si>
    <t>Hours 9-12 in 12hr shift; Saturday</t>
  </si>
  <si>
    <t>Overtime premium — double time (2x)</t>
  </si>
  <si>
    <t>100%</t>
  </si>
  <si>
    <t>Sunday + statutory holidays</t>
  </si>
  <si>
    <t>Shift premium — afternoon shift</t>
  </si>
  <si>
    <t>Per CBA; project specific</t>
  </si>
  <si>
    <t>Shift premium — night shift</t>
  </si>
  <si>
    <t>Cold weather heating — LP heaters</t>
  </si>
  <si>
    <t>Propane salamander or torpedo heater</t>
  </si>
  <si>
    <t>Cold weather enclosure — concrete pour</t>
  </si>
  <si>
    <t>m2 enclosed</t>
  </si>
  <si>
    <t>Poly tarp + frame + heat; per pour area</t>
  </si>
  <si>
    <t>Winter freeze protection — earthworks</t>
  </si>
  <si>
    <t>m3 thaw</t>
  </si>
  <si>
    <t>Steam or ground thaw blankets</t>
  </si>
  <si>
    <t>OWNER-CAUSED DELAY</t>
  </si>
  <si>
    <t>Equipment demob + remob — per event</t>
  </si>
  <si>
    <t>event</t>
  </si>
  <si>
    <t>Equipment size dependent</t>
  </si>
  <si>
    <t>Extended project overhead — per week</t>
  </si>
  <si>
    <t>All site OH: trailer, IT, vehicles, staff</t>
  </si>
  <si>
    <t>Material restocking / escalation impact</t>
  </si>
  <si>
    <t>% of mat.</t>
  </si>
  <si>
    <t>If materials ordered and delay &gt;3 months</t>
  </si>
  <si>
    <t>SME ESTIMATING FACTORS — CANADA 2026 — SOURCE: Rev E SME Factors tab</t>
  </si>
  <si>
    <t>Factor / Item</t>
  </si>
  <si>
    <t>SME Notes / Basis</t>
  </si>
  <si>
    <t>INDIRECT / GC MARKUPS</t>
  </si>
  <si>
    <t>Mob/demob — major earthwork fleet (% of equip)</t>
  </si>
  <si>
    <t>Or flat LS per fleet assembly</t>
  </si>
  <si>
    <t>Mob/demob — rough terrain crane RT 60T</t>
  </si>
  <si>
    <t>$4,000</t>
  </si>
  <si>
    <t>$8,000</t>
  </si>
  <si>
    <t>Flat rate per mob</t>
  </si>
  <si>
    <t>Mob/demob — crawler crane 150T</t>
  </si>
  <si>
    <t>$25,000</t>
  </si>
  <si>
    <t>$55,000</t>
  </si>
  <si>
    <t>Incl. partial disassembly</t>
  </si>
  <si>
    <t>Camp/LOA markup on direct labour</t>
  </si>
  <si>
    <t>Add for remote sites</t>
  </si>
  <si>
    <t>Small tools and consumables on direct labour</t>
  </si>
  <si>
    <t>4%</t>
  </si>
  <si>
    <t>Blades, hoses, bits, PPE consumables</t>
  </si>
  <si>
    <t>Supervision markup on direct labour</t>
  </si>
  <si>
    <t>Foreman + superintendent ratio</t>
  </si>
  <si>
    <t>Contractor distributable (CDI) on direct cost</t>
  </si>
  <si>
    <t>6%</t>
  </si>
  <si>
    <t>Temp facilities, insurance, site admin</t>
  </si>
  <si>
    <t>DESIGN GROWTH — AACE 18R-97</t>
  </si>
  <si>
    <t>Class 4 study (screening/feasibility prep)</t>
  </si>
  <si>
    <t>Limited geotech; prelim drawings</t>
  </si>
  <si>
    <t>Class 3 budget (feasibility study)</t>
  </si>
  <si>
    <t>THIS DOCUMENT standard level</t>
  </si>
  <si>
    <t>Class 2 sanction / AFE (pre-FID)</t>
  </si>
  <si>
    <t>Good definition; IFC packages near complete</t>
  </si>
  <si>
    <t>Class 1 check / tender (detailed design)</t>
  </si>
  <si>
    <t>Concrete works — add to above</t>
  </si>
  <si>
    <t>WASTAGE FACTORS</t>
  </si>
  <si>
    <t>Granular aggregate — over-order allowance</t>
  </si>
  <si>
    <t>Concrete — over-pour allowance</t>
  </si>
  <si>
    <t>Formed concrete; pump waste + edge loss</t>
  </si>
  <si>
    <t>Rebar — cutting waste</t>
  </si>
  <si>
    <t>Depends on bar size and cutting complexity</t>
  </si>
  <si>
    <t>Geomembrane liner — overlap + waste</t>
  </si>
  <si>
    <t>Geotextile — overlap + waste</t>
  </si>
  <si>
    <t>6-inch overlaps min per ASTM D4439</t>
  </si>
  <si>
    <t>REGIONAL ADJUSTMENTS — CANADA 2026</t>
  </si>
  <si>
    <t>Ontario (Greater Toronto / Ottawa)</t>
  </si>
  <si>
    <t>1.05</t>
  </si>
  <si>
    <t>1.15</t>
  </si>
  <si>
    <t>Labour + material premium</t>
  </si>
  <si>
    <t>Ontario (Northern — Thunder Bay / Sudbury)</t>
  </si>
  <si>
    <t>1.02</t>
  </si>
  <si>
    <t>1.10</t>
  </si>
  <si>
    <t>Remote factor; fly-in camp adds $50-80/mhday</t>
  </si>
  <si>
    <t>Quebec (Montreal)</t>
  </si>
  <si>
    <t>1.03</t>
  </si>
  <si>
    <t>1.12</t>
  </si>
  <si>
    <t>Union density; CCQ wage rates</t>
  </si>
  <si>
    <t>Quebec (Northern — Chibougamau / James Bay)</t>
  </si>
  <si>
    <t>1.08</t>
  </si>
  <si>
    <t>1.22</t>
  </si>
  <si>
    <t>Remote + northern premium</t>
  </si>
  <si>
    <t>Manitoba / Saskatchewan</t>
  </si>
  <si>
    <t>1.00</t>
  </si>
  <si>
    <t>Moderate; open-shop market available</t>
  </si>
  <si>
    <t>Alberta (Edmonton / Calgary)</t>
  </si>
  <si>
    <t>1.18</t>
  </si>
  <si>
    <t>Boom/bust volatility; CLAC + union mix</t>
  </si>
  <si>
    <t>Alberta (Oil Sands / Fort McMurray)</t>
  </si>
  <si>
    <t>1.35</t>
  </si>
  <si>
    <t>Boom market premium; remote camp intensity</t>
  </si>
  <si>
    <t>British Columbia (Metro Vancouver)</t>
  </si>
  <si>
    <t>1.20</t>
  </si>
  <si>
    <t>Labour premium; IBEW/UA rates higher</t>
  </si>
  <si>
    <t>British Columbia (Interior / Northern)</t>
  </si>
  <si>
    <t>1.30</t>
  </si>
  <si>
    <t>Remote + northern premium; winter factor</t>
  </si>
  <si>
    <t>Yukon / NWT / Nunavut</t>
  </si>
  <si>
    <t>1.55</t>
  </si>
  <si>
    <t>Extreme remote; fly-in; northern allowances</t>
  </si>
  <si>
    <t>Winter construction premium — all Canada</t>
  </si>
  <si>
    <t>Heating, snow clearing, reduced productivity</t>
  </si>
  <si>
    <t>ESCALATION — CANADA 2026</t>
  </si>
  <si>
    <t>Go-by Q2-2020 to Q2-2026 applied factor</t>
  </si>
  <si>
    <t>Labour CBA escalation 2024-2026 NL trades</t>
  </si>
  <si>
    <t>Diesel — NS May 2026 (NRCan)</t>
  </si>
  <si>
    <t>Diesel — AB May 2026 (NRCan)</t>
  </si>
  <si>
    <t>Lower tax base</t>
  </si>
  <si>
    <t>Diesel — BC Metro May 2026 (NRCan)</t>
  </si>
  <si>
    <t>Carbon levy + higher base</t>
  </si>
  <si>
    <t>USD/CAD exchange rate May 2026</t>
  </si>
  <si>
    <t>CBSA surtax — Chinese structural steel (25%)</t>
  </si>
  <si>
    <t>CBSA Notices 24-26/25-22</t>
  </si>
  <si>
    <t>CBSA surtax — Chinese rebar (25%)</t>
  </si>
  <si>
    <t>Verify current supplier origin cert.</t>
  </si>
  <si>
    <t>ACCURACY RANGES — AACE 18R-97</t>
  </si>
  <si>
    <t>Class 4 study</t>
  </si>
  <si>
    <t>Screening/feasibility</t>
  </si>
  <si>
    <t>Class 3 budget / feasibility</t>
  </si>
  <si>
    <t>THIS DOCUMENT — standard benchmark</t>
  </si>
  <si>
    <t>Class 2 sanction / AFE</t>
  </si>
  <si>
    <t>Pre-FID; good definition</t>
  </si>
  <si>
    <t>Class 1 check / tender</t>
  </si>
  <si>
    <t>BID COST STRUCTURE — 6-LAYER CONTRACTOR MARKUP MODEL — SOURCE: Rev G Bid Summary tab</t>
  </si>
  <si>
    <t>Layer</t>
  </si>
  <si>
    <t>Bid Cost Element</t>
  </si>
  <si>
    <t>Basis / Method</t>
  </si>
  <si>
    <t>Typical Low</t>
  </si>
  <si>
    <t>Typical High</t>
  </si>
  <si>
    <t>% of Direct</t>
  </si>
  <si>
    <t>1 — DIRECT FIELD COSTS</t>
  </si>
  <si>
    <t>1.1 Earthworks &amp; Mass Excavation</t>
  </si>
  <si>
    <t>Unit rates × MTO quantities</t>
  </si>
  <si>
    <t>20-40%</t>
  </si>
  <si>
    <t>Largest single direct line for most mining civil</t>
  </si>
  <si>
    <t>1.2 SWM, ESC &amp; Water Management</t>
  </si>
  <si>
    <t>5-10%</t>
  </si>
  <si>
    <t>1.3 Roads, Pads &amp; Working Surfaces</t>
  </si>
  <si>
    <t>8-15%</t>
  </si>
  <si>
    <t>1.4 WRSA / TMF Embankment</t>
  </si>
  <si>
    <t>10-20%</t>
  </si>
  <si>
    <t>Dam Safety requirements additive</t>
  </si>
  <si>
    <t>1.5 Drainage, Culverts &amp; Piping</t>
  </si>
  <si>
    <t>Long lead items; confirm supply</t>
  </si>
  <si>
    <t>1.6 Concrete — Civil</t>
  </si>
  <si>
    <t>5-12%</t>
  </si>
  <si>
    <t>1.7 Structural Steel &amp; Building Enclosure</t>
  </si>
  <si>
    <t>3-8%</t>
  </si>
  <si>
    <t>CBSA tariff risk — Chinese origin</t>
  </si>
  <si>
    <t>1.8 Geosynthetics &amp; Liner Systems</t>
  </si>
  <si>
    <t>Specialist sub; include CQA</t>
  </si>
  <si>
    <t>1.9 Blasting (drill+charge+blast+clear)</t>
  </si>
  <si>
    <t>2-5%</t>
  </si>
  <si>
    <t>Licensed sub or self-perform</t>
  </si>
  <si>
    <t>1.10 Buried Services</t>
  </si>
  <si>
    <t>1.11 Fencing, Security &amp; Wildlife</t>
  </si>
  <si>
    <t>1-2%</t>
  </si>
  <si>
    <t>Required all Canadian mine sites</t>
  </si>
  <si>
    <t>1.12 Permanent Dewatering Systems</t>
  </si>
  <si>
    <t>1-3%</t>
  </si>
  <si>
    <t>1.13 Closure &amp; Reclamation</t>
  </si>
  <si>
    <t>If in scope</t>
  </si>
  <si>
    <t>SUBTOTAL — DIRECT FIELD COSTS</t>
  </si>
  <si>
    <t>Sum above</t>
  </si>
  <si>
    <t>Basis for all markup calculations</t>
  </si>
  <si>
    <t>2 — CONTRACTOR FIELD INDIRECTS (CDI)</t>
  </si>
  <si>
    <t>2.1 Site establishment / mobilization</t>
  </si>
  <si>
    <t>Project LS</t>
  </si>
  <si>
    <t>1%</t>
  </si>
  <si>
    <t>Per Sheet 16 mob/demob logic; remote/fly-in higher</t>
  </si>
  <si>
    <t>2.2 Temp facilities (offices, lunchrooms)</t>
  </si>
  <si>
    <t>LS allowance</t>
  </si>
  <si>
    <t>0.5-1.5%</t>
  </si>
  <si>
    <t>2.3 Field supervision</t>
  </si>
  <si>
    <t>8-12% of direct labour</t>
  </si>
  <si>
    <t>8-12% of lab</t>
  </si>
  <si>
    <t>PM, QC, safety officer</t>
  </si>
  <si>
    <t>2.4 Small tools and consumables</t>
  </si>
  <si>
    <t>2.5-4% of direct labour</t>
  </si>
  <si>
    <t>4.0%</t>
  </si>
  <si>
    <t>2.5-4%</t>
  </si>
  <si>
    <t>2.5 Quality control and testing</t>
  </si>
  <si>
    <t>0.5-1.5% of direct</t>
  </si>
  <si>
    <t>Nuclear density, concrete cyl, geotech</t>
  </si>
  <si>
    <t>2.6 Environmental compliance (SWPPP)</t>
  </si>
  <si>
    <t>0.3-0.8% of direct</t>
  </si>
  <si>
    <t>0.3%</t>
  </si>
  <si>
    <t>0.8%</t>
  </si>
  <si>
    <t>0.3-0.8%</t>
  </si>
  <si>
    <t>Monitoring, spill kits, inspection</t>
  </si>
  <si>
    <t>2.7 Demobilization and site cleanup</t>
  </si>
  <si>
    <t>2.8 Camp setup and operating costs</t>
  </si>
  <si>
    <t>See Sheet 11</t>
  </si>
  <si>
    <t>Project-specific</t>
  </si>
  <si>
    <t>Separate line — not in labour rate</t>
  </si>
  <si>
    <t>2.9 Pre-blast surveys</t>
  </si>
  <si>
    <t>$3,500-$8,500/struct</t>
  </si>
  <si>
    <t>Required before blasting near structures</t>
  </si>
  <si>
    <t>CDI SUBTOTAL</t>
  </si>
  <si>
    <t>Typically 12-18% of direct</t>
  </si>
  <si>
    <t>18%</t>
  </si>
  <si>
    <t>12-18%</t>
  </si>
  <si>
    <t>3 — COMPANY OVERHEAD</t>
  </si>
  <si>
    <t>3.1 Head office overhead allocation</t>
  </si>
  <si>
    <t>3-6%</t>
  </si>
  <si>
    <t>Allocated executive, accounting, legal, IT, facility</t>
  </si>
  <si>
    <t>3.2 Bid and proposal costs</t>
  </si>
  <si>
    <t>3.3 Warranty allowance — 12 month</t>
  </si>
  <si>
    <t>0.5-1.0% of contract</t>
  </si>
  <si>
    <t>0.5-1%</t>
  </si>
  <si>
    <t>OVERHEAD SUBTOTAL</t>
  </si>
  <si>
    <t>Typically 6-12% of direct</t>
  </si>
  <si>
    <t>6-12%</t>
  </si>
  <si>
    <t>4 — BONDING &amp; INSURANCE</t>
  </si>
  <si>
    <t>4.2 Performance bond</t>
  </si>
  <si>
    <t>0.5-1.5% of contract</t>
  </si>
  <si>
    <t>CCDC 2 standard requirement</t>
  </si>
  <si>
    <t>4.3 Labour &amp; Material Payment bond</t>
  </si>
  <si>
    <t>Required CCDC 2</t>
  </si>
  <si>
    <t>4.4 General liability insurance</t>
  </si>
  <si>
    <t>$5-$8 per $1,000 payroll</t>
  </si>
  <si>
    <t>/ $1K payroll</t>
  </si>
  <si>
    <t>4.5 Workers Compensation — labourers</t>
  </si>
  <si>
    <t>$4.50-$6.00 per $100</t>
  </si>
  <si>
    <t>/ $100 payroll</t>
  </si>
  <si>
    <t>4.6 Builder's Risk / Course of Const.</t>
  </si>
  <si>
    <t>0.15-0.35% of contract</t>
  </si>
  <si>
    <t>0.15-0.35%</t>
  </si>
  <si>
    <t>BONDING &amp; INSURANCE SUBTOTAL</t>
  </si>
  <si>
    <t>Typically 2-4% of contract</t>
  </si>
  <si>
    <t>2-4%</t>
  </si>
  <si>
    <t>5 — CONTINGENCY &amp; RISK</t>
  </si>
  <si>
    <t>5.1 Quantity / scope risk (MTO uncertainty)</t>
  </si>
  <si>
    <t>% of direct</t>
  </si>
  <si>
    <t>Design growth from MTO variance; per AACE class</t>
  </si>
  <si>
    <t>5.2 Ground conditions / geotech risk</t>
  </si>
  <si>
    <t>3-8% of earthworks direct</t>
  </si>
  <si>
    <t>3-8% of earth</t>
  </si>
  <si>
    <t>Unforeseen rock, contamination, groundwater</t>
  </si>
  <si>
    <t>5.3 Weather / schedule risk</t>
  </si>
  <si>
    <t>2-5% of total</t>
  </si>
  <si>
    <t>Productivity loss; winter and spring</t>
  </si>
  <si>
    <t>5.4 Escalation / commodity price risk</t>
  </si>
  <si>
    <t>3-8% of materials</t>
  </si>
  <si>
    <t>3-8% of mat.</t>
  </si>
  <si>
    <t>Diesel, aggregate, steel — long contracts</t>
  </si>
  <si>
    <t>5.5 Subcontractor default risk</t>
  </si>
  <si>
    <t>1-3% of sub spend</t>
  </si>
  <si>
    <t>1-3% of sub $</t>
  </si>
  <si>
    <t>CONTINGENCY SUBTOTAL</t>
  </si>
  <si>
    <t>Typically 8-15% of direct</t>
  </si>
  <si>
    <t>6 — CONTRACTOR PROFIT</t>
  </si>
  <si>
    <t>6.1 Profit — open competitive market</t>
  </si>
  <si>
    <t>5-10% of all costs</t>
  </si>
  <si>
    <t>Standard market-rate bid; multiple bidders</t>
  </si>
  <si>
    <t>6.2 Profit — sole source / preferred</t>
  </si>
  <si>
    <t>8-12% of all costs</t>
  </si>
  <si>
    <t>8-12%</t>
  </si>
  <si>
    <t>Pre-qualified or sole-source scenario</t>
  </si>
  <si>
    <t>6.3 Profit — high risk / remote</t>
  </si>
  <si>
    <t>10-15% of all costs</t>
  </si>
  <si>
    <t>10-15%</t>
  </si>
  <si>
    <t>Northern, fly-in, first-time client</t>
  </si>
  <si>
    <t>TOTAL BID = Direct + CDI + OH + B/I + Contingency + Profit</t>
  </si>
  <si>
    <t>Bottom-up; sense-check $/m3 or $/m2</t>
  </si>
  <si>
    <t>Cross-check with Sheet 10 floors/ceilings</t>
  </si>
  <si>
    <t>MOBILIZATION &amp; DEMOBILIZATION LOGIC — CANADA 2026 — SOURCE: Rev E SME Factors + standard practice</t>
  </si>
  <si>
    <t>Asset / Activity</t>
  </si>
  <si>
    <t>Low (CAD)</t>
  </si>
  <si>
    <t>High (CAD)</t>
  </si>
  <si>
    <t>EARTHWORK FLEET</t>
  </si>
  <si>
    <t>Major earthwork fleet mob/demob</t>
  </si>
  <si>
    <t>% of total equip value</t>
  </si>
  <si>
    <t>Or flat LS per fleet; round-trip</t>
  </si>
  <si>
    <t>Heavy haul move per low-bed trip</t>
  </si>
  <si>
    <t>Per round-trip</t>
  </si>
  <si>
    <t>$1,800</t>
  </si>
  <si>
    <t>Within 300 km radius</t>
  </si>
  <si>
    <t>Off-road haul truck (40-100T) move</t>
  </si>
  <si>
    <t>Per unit / round-trip</t>
  </si>
  <si>
    <t>$18,000</t>
  </si>
  <si>
    <t>May require permit, escort</t>
  </si>
  <si>
    <t>CRANES</t>
  </si>
  <si>
    <t>Rough terrain crane RT 60T</t>
  </si>
  <si>
    <t>Flat per mob</t>
  </si>
  <si>
    <t>Single-truck low-bed</t>
  </si>
  <si>
    <t>Lattice boom crawler 150T</t>
  </si>
  <si>
    <t>Flat per mob (incl. disassembly)</t>
  </si>
  <si>
    <t>Partial disassembly; 5-10 trailer loads</t>
  </si>
  <si>
    <t>CAMPS</t>
  </si>
  <si>
    <t>Camp setup — fly-in remote (40-bed)</t>
  </si>
  <si>
    <t>$250,000</t>
  </si>
  <si>
    <t>$500,000</t>
  </si>
  <si>
    <t>Mob crew + freight + assembly</t>
  </si>
  <si>
    <t>Camp setup — drive-in (40-bed)</t>
  </si>
  <si>
    <t>$120,000</t>
  </si>
  <si>
    <t>$220,000</t>
  </si>
  <si>
    <t>SITE TEMP FACILITIES</t>
  </si>
  <si>
    <t>Trailer offices + lunchrooms + IT</t>
  </si>
  <si>
    <t>$35,000</t>
  </si>
  <si>
    <t>$85,000</t>
  </si>
  <si>
    <t>From Sheet 11</t>
  </si>
  <si>
    <t>SPECIALTY SUBS</t>
  </si>
  <si>
    <t>HDPE liner sub (incl. CQA crew)</t>
  </si>
  <si>
    <t>$60,000</t>
  </si>
  <si>
    <t>Specialty equipment + technicians</t>
  </si>
  <si>
    <t>Blasting sub (drill + powder magazine)</t>
  </si>
  <si>
    <t>$90,000</t>
  </si>
  <si>
    <t>Includes permit fees, magazine, powder</t>
  </si>
  <si>
    <t>Aggregate crushing plant</t>
  </si>
  <si>
    <t>$150,000</t>
  </si>
  <si>
    <t>$400,000</t>
  </si>
  <si>
    <t>Move, set, commission</t>
  </si>
  <si>
    <t>INSURANCE / WCB REG</t>
  </si>
  <si>
    <t>Provincial registration + WCB account</t>
  </si>
  <si>
    <t>$5,000</t>
  </si>
  <si>
    <t>$15,000</t>
  </si>
  <si>
    <t>Multi-province jobs</t>
  </si>
  <si>
    <t>Mob/demob is typically priced as a separate LS line — not absorbed in unit rates. For remote/fly-in sites add freight allowance. For multi-phase work, charge re-mob per phase. Confirm haul permit and escort costs for over-dimensional moves in NS/NB/QC/ON/MB. Sheet 13 (Standby &amp; Schedule) handles owner-caused remob.</t>
  </si>
  <si>
    <t>CONSTRUCTABILITY &amp; EXECUTION ASSUMPTIONS [TEMPLATE — populate per project]</t>
  </si>
  <si>
    <t>Assumption / Decision</t>
  </si>
  <si>
    <t>Project-Specific Notes</t>
  </si>
  <si>
    <t>WORK CALENDAR</t>
  </si>
  <si>
    <t>Site works 10-hr shift, 14-on / 7-off (FIFO) OR 4-on / 3-off (drive-in)</t>
  </si>
  <si>
    <t>&lt;populate&gt;</t>
  </si>
  <si>
    <t>Effective hours per shift after breaks &amp; travel: 8.5-9.0 productive hr</t>
  </si>
  <si>
    <t>Winter weather window (no work): Nov-Mar productivity factor 0.70-0.85</t>
  </si>
  <si>
    <t>Spring break-up moratorium (haul road restrictions): early Apr to mid-May</t>
  </si>
  <si>
    <t>ACCESS &amp; LOGISTICS</t>
  </si>
  <si>
    <t>Primary access road condition (paved / gravel / seasonal) and weight rating</t>
  </si>
  <si>
    <t>Fly-in vs drive-in — confirm chartered air freight cost &amp; frequency</t>
  </si>
  <si>
    <t>Material laydown sufficient for 60-90 days inventory at site</t>
  </si>
  <si>
    <t>Fuel resupply schedule — confirm tanker turnaround &amp; on-site storage capacity</t>
  </si>
  <si>
    <t>SEQUENCING</t>
  </si>
  <si>
    <t>Earthworks completion before liner install (no traffic post-liner)</t>
  </si>
  <si>
    <t>Concrete cure times: 7 days form-strip; 28 days full strength; cold weather double</t>
  </si>
  <si>
    <t>Steel erection cannot proceed until anchor bolts surveyed and accepted</t>
  </si>
  <si>
    <t>Culvert installs during low-flow window per provincial fisheries authorization</t>
  </si>
  <si>
    <t>GEOTECHNICAL</t>
  </si>
  <si>
    <t>Bedrock encountered at depth X m — drill+blast assumption from elevation Y</t>
  </si>
  <si>
    <t>Water table at depth X m — dewatering required for excavations deeper than Y m</t>
  </si>
  <si>
    <t>Acid-generating waste rock requires segregation and encapsulation (geomembrane base)</t>
  </si>
  <si>
    <t>ENVIRONMENTAL</t>
  </si>
  <si>
    <t>Fish habitat compensation work in Year 1 — site-specific permits required</t>
  </si>
  <si>
    <t>SWPPP / ESCP plan controlling discharge to receiving water; weekly inspection minimum</t>
  </si>
  <si>
    <t>Wildlife protocol (bear/caribou/grizzly) — daily site clearance</t>
  </si>
  <si>
    <t>CONSTRUCTION METHODS</t>
  </si>
  <si>
    <t>Roll-on / roll-off compaction at 95% Std Proctor; 98% for process pads</t>
  </si>
  <si>
    <t>Concrete supplied from on-site batch plant (if vol &gt;2,000 m3) else ready-mix from &lt;X&gt; km</t>
  </si>
  <si>
    <t>Aggregate supplied from on-site quarry/crusher (if vol &gt;50,000 t) else from &lt;X&gt; km</t>
  </si>
  <si>
    <t>Blasting confined per pattern; pre-blast survey for structures within 500m radius</t>
  </si>
  <si>
    <t>INTERFACE</t>
  </si>
  <si>
    <t>Owner-supplied items: &lt;list&gt; (e.g. process plant equipment)</t>
  </si>
  <si>
    <t>Existing facility tie-ins coordinated during scheduled outage windows</t>
  </si>
  <si>
    <t>LABOUR / IR</t>
  </si>
  <si>
    <t>Open shop / CLAC / Building Trades — confirm market and CBA obligations</t>
  </si>
  <si>
    <t>Indigenous community engagement commitment — % local hire / IBA obligations</t>
  </si>
  <si>
    <t>Site induction 4 hr per worker; site-specific safety standards apply</t>
  </si>
  <si>
    <t>Fire watch protocol for hot work; permit-to-work system in operation</t>
  </si>
  <si>
    <t>Critical lifts &gt; 75% chart capacity require lift plan + engineer approval</t>
  </si>
  <si>
    <t>PRODUCTIVITY</t>
  </si>
  <si>
    <t>Apply 0.85-0.95 productivity factor for first 4 weeks of project (learning curve)</t>
  </si>
  <si>
    <t>Confined working areas: derate output by 10-30% depending on access</t>
  </si>
  <si>
    <t>QUALITY</t>
  </si>
  <si>
    <t>All concrete pours: nuclear density + 4-cyl set per pour (Sheet 11)</t>
  </si>
  <si>
    <t>All HDPE liner seams: 100% non-destructive (spark / vacuum) + destructive sample 1/150m</t>
  </si>
  <si>
    <t>SCOPE INCLUSIONS, EXCLUSIONS &amp; CLARIFICATIONS REGISTER [TEMPLATE — populate per bid]</t>
  </si>
  <si>
    <t>Discipline</t>
  </si>
  <si>
    <t>Status (Incl. / Excl. / Clar.)</t>
  </si>
  <si>
    <t>Description / Reference</t>
  </si>
  <si>
    <t>Mass excavation common soil</t>
  </si>
  <si>
    <t>INCLUDED</t>
  </si>
  <si>
    <t>Per Sheet 08 C-10-002; balanced cut/fill assumed</t>
  </si>
  <si>
    <t>Rock excavation including drill &amp; blast</t>
  </si>
  <si>
    <t>Per Sheet 08 C-10-007 + B-01-003</t>
  </si>
  <si>
    <t>Removal of contaminated soil</t>
  </si>
  <si>
    <t>EXCLUDED</t>
  </si>
  <si>
    <t>Owner responsibility; treated separately</t>
  </si>
  <si>
    <t>Temporary site dewatering</t>
  </si>
  <si>
    <t>CLARIFY</t>
  </si>
  <si>
    <t>Included only where shown on dewatering plan</t>
  </si>
  <si>
    <t>WATER MGMT</t>
  </si>
  <si>
    <t>Permanent stormwater pond construction</t>
  </si>
  <si>
    <t>Per pond MTO</t>
  </si>
  <si>
    <t>Operating sediment treatment chemicals</t>
  </si>
  <si>
    <t>Owner-supplied per operating procedure</t>
  </si>
  <si>
    <t>ROADS</t>
  </si>
  <si>
    <t>Haul road sub-base + surface course</t>
  </si>
  <si>
    <t>Per Sheet 08 C-30-002/3/4</t>
  </si>
  <si>
    <t>Permanent asphalt paving</t>
  </si>
  <si>
    <t>Included only on access road; not on haul roads</t>
  </si>
  <si>
    <t>WRSA/TMF</t>
  </si>
  <si>
    <t>TMF embankment construction Zones A, B, C</t>
  </si>
  <si>
    <t>Per Sheet 08 C-40-002/3</t>
  </si>
  <si>
    <t>HDPE 2mm liner with CQA</t>
  </si>
  <si>
    <t>Per Sheet 08 C-40-004; specialty sub</t>
  </si>
  <si>
    <t>Dam Safety Officer (DSO) services</t>
  </si>
  <si>
    <t>Owner's appointed DSO; we provide construction records</t>
  </si>
  <si>
    <t>CSP culverts up to 1200mm diameter</t>
  </si>
  <si>
    <t>Per culvert schedule</t>
  </si>
  <si>
    <t>Precast box / arch culverts &gt; 1500mm</t>
  </si>
  <si>
    <t>Included only if drawing shows; supply long-lead</t>
  </si>
  <si>
    <t>Cast-in-place foundations, walls, footings</t>
  </si>
  <si>
    <t>Per concrete MTO; ready-mix from &lt;X&gt; km plant</t>
  </si>
  <si>
    <t>Precast concrete (process plant)</t>
  </si>
  <si>
    <t>Owner-supplied for plant scope</t>
  </si>
  <si>
    <t>STEEL</t>
  </si>
  <si>
    <t>Structural steel building enclosures + equipment platforms</t>
  </si>
  <si>
    <t>Per steel MTO; supplier TBD</t>
  </si>
  <si>
    <t>Process plant structural steel</t>
  </si>
  <si>
    <t>Owner / mechanical contractor scope</t>
  </si>
  <si>
    <t>GEOSYNTHETICS</t>
  </si>
  <si>
    <t>HDPE liner systems (TMF, ponds, closure cap)</t>
  </si>
  <si>
    <t>Includes installation + CQA</t>
  </si>
  <si>
    <t>Geomembrane CQA Engineer of Record</t>
  </si>
  <si>
    <t>Owner-appointed independent</t>
  </si>
  <si>
    <t>Drill, blast, clear of rock excavation</t>
  </si>
  <si>
    <t>Self-perform or licensed sub</t>
  </si>
  <si>
    <t>Pre-blast condition surveys of nearby structures</t>
  </si>
  <si>
    <t>Sheet 11; &gt;500m radius scope</t>
  </si>
  <si>
    <t>BURIED SVCS</t>
  </si>
  <si>
    <t>Site potable water, sewer, process water mains</t>
  </si>
  <si>
    <t>Per Sheet 08 K series</t>
  </si>
  <si>
    <t>Electrical / instrumentation underground</t>
  </si>
  <si>
    <t>Per electrical contractor scope</t>
  </si>
  <si>
    <t>Site perimeter chain link + wildlife exclusion</t>
  </si>
  <si>
    <t>Per Sheet 08 M series</t>
  </si>
  <si>
    <t>Process plant area security fencing</t>
  </si>
  <si>
    <t>By process contractor</t>
  </si>
  <si>
    <t>CLOSURE</t>
  </si>
  <si>
    <t>Final cover system + topsoil + seeding</t>
  </si>
  <si>
    <t>Per Sheet 08 H series; one-time cap</t>
  </si>
  <si>
    <t>Long-term water treatment infrastructure</t>
  </si>
  <si>
    <t>Owner's operating responsibility</t>
  </si>
  <si>
    <t>INDIRECTS</t>
  </si>
  <si>
    <t>Site offices, lunchrooms, dryrooms</t>
  </si>
  <si>
    <t>Per Sheet 11</t>
  </si>
  <si>
    <t>Camp accommodation (incl. food)</t>
  </si>
  <si>
    <t>Included only if remote; sheet 05 O2</t>
  </si>
  <si>
    <t>Owner inspection / EPCM offices on site</t>
  </si>
  <si>
    <t>By owner / EPCM</t>
  </si>
  <si>
    <t>PERMITS</t>
  </si>
  <si>
    <t>Routine construction permits (excavation, hot work)</t>
  </si>
  <si>
    <t>Standard practice</t>
  </si>
  <si>
    <t>Environmental authorization (EA, water license)</t>
  </si>
  <si>
    <t>Owner responsibility</t>
  </si>
  <si>
    <t>Provincial blasting permits, magazine licenses</t>
  </si>
  <si>
    <t>Sub responsibility for blasting</t>
  </si>
  <si>
    <t>WARRANTY</t>
  </si>
  <si>
    <t>12-month material + workmanship warranty</t>
  </si>
  <si>
    <t>Standard CCDC 2</t>
  </si>
  <si>
    <t>Extended warranty beyond 12 months</t>
  </si>
  <si>
    <t>By negotiation</t>
  </si>
  <si>
    <t>EXCLUSIONS</t>
  </si>
  <si>
    <t>Owner-furnished materials of any kind</t>
  </si>
  <si>
    <t>Receive, store and install only if priced separately</t>
  </si>
  <si>
    <t>Force majeure or unknown ground conditions</t>
  </si>
  <si>
    <t>Per CCDC general conditions</t>
  </si>
  <si>
    <t>BID LEVELING — TENDER COMPARISON [TEMPLATE — enter bidder pricing in blue cells]</t>
  </si>
  <si>
    <t>Quantity</t>
  </si>
  <si>
    <t>Bidder A ($/unit)</t>
  </si>
  <si>
    <t>Bidder B ($/unit)</t>
  </si>
  <si>
    <t>Bidder C ($/unit)</t>
  </si>
  <si>
    <t>SME Benchmark ($/unit)</t>
  </si>
  <si>
    <t>&lt;qty&gt;</t>
  </si>
  <si>
    <t>&lt;enter $&gt;</t>
  </si>
  <si>
    <t>Rock excavation — blasted and loaded</t>
  </si>
  <si>
    <t>Haul road — sub-grade preparation</t>
  </si>
  <si>
    <t>Asphalt paving 50mm HL3</t>
  </si>
  <si>
    <t>TMF embankment Zone A/B</t>
  </si>
  <si>
    <t>CSP culvert 1200mm</t>
  </si>
  <si>
    <t>Concrete wall / grade beam</t>
  </si>
  <si>
    <t>Rebar Grade 400</t>
  </si>
  <si>
    <t>Rock blasting all-in</t>
  </si>
  <si>
    <t>Wildlife exclusion fence 2.4m elec.</t>
  </si>
  <si>
    <t>Precast box culvert 2400x1800mm</t>
  </si>
  <si>
    <t>[TEMPLATE] Convert bidder Forms of Tender into common UOM and apply: Variance vs SME benchmark (%) = (Bidder $/unit − Benchmark $/unit) / Benchmark $/unit. Flag any item more than ±20% from benchmark for clarification. Use Sheet 10 floors/ceilings for hard out-of-range flags. Append clarifications and exclusions from each bidder to a deviation log.</t>
  </si>
  <si>
    <t>CHANGE ORDER PRICING METHODOLOGIES — CCDC-STYLE [TEMPLATE]</t>
  </si>
  <si>
    <t>Method</t>
  </si>
  <si>
    <t>When to Use</t>
  </si>
  <si>
    <t>Build-Up Formula</t>
  </si>
  <si>
    <t>Markup Low</t>
  </si>
  <si>
    <t>Markup High</t>
  </si>
  <si>
    <t>Unit-rate based</t>
  </si>
  <si>
    <t>Quantum is well-defined and existing unit rate covers the work scope</t>
  </si>
  <si>
    <t>Qty × existing unit rate × (1 + design growth)</t>
  </si>
  <si>
    <t>Preferred where unit rates exist (Sheet 08)</t>
  </si>
  <si>
    <t>Time &amp; Materials (T&amp;M)</t>
  </si>
  <si>
    <t>Scope is uncertain and / or schedule-critical; no firm quantum</t>
  </si>
  <si>
    <t>Crew hr × crew $/hr + Equip hr × equip $/hr + Mat × (1+wastage) + Sub × (1+markup) + OH%</t>
  </si>
  <si>
    <t>Daily LEM log signed by owner rep</t>
  </si>
  <si>
    <t>Lump-sum quotation</t>
  </si>
  <si>
    <t>Discrete, well-defined work that can be quoted firm</t>
  </si>
  <si>
    <t>Direct (build up per Sheet 09) + Indirect (10-15%) + OH+P (10-20%)</t>
  </si>
  <si>
    <t>Submit detailed breakdown; client accepts LS</t>
  </si>
  <si>
    <t>Negotiated rates</t>
  </si>
  <si>
    <t>Recurring change category (e.g. additional culvert sizes)</t>
  </si>
  <si>
    <t>Pre-agreed rate schedule × Qty</t>
  </si>
  <si>
    <t>Capture in change order schedule</t>
  </si>
  <si>
    <t>Force account</t>
  </si>
  <si>
    <t>Disputed scope; owner directs work pending resolution</t>
  </si>
  <si>
    <t>T&amp;M as above + auditable records + retention of receipts</t>
  </si>
  <si>
    <t>Subject to subsequent audit</t>
  </si>
  <si>
    <t>CHANGE ORDER STANDARD MARKUP STACK (per CCDC 2 GC 6.2.4)</t>
  </si>
  <si>
    <t>Element</t>
  </si>
  <si>
    <t>Apply To</t>
  </si>
  <si>
    <t>1</t>
  </si>
  <si>
    <t>Direct labour + equip + material</t>
  </si>
  <si>
    <t>Cost of work</t>
  </si>
  <si>
    <t>Build up per Sheet 09</t>
  </si>
  <si>
    <t>2</t>
  </si>
  <si>
    <t>Contractor field overhead</t>
  </si>
  <si>
    <t>Direct labour</t>
  </si>
  <si>
    <t>If work managed by existing PM team — lower</t>
  </si>
  <si>
    <t>3</t>
  </si>
  <si>
    <t>Head office overhead</t>
  </si>
  <si>
    <t>Total direct + CFO</t>
  </si>
  <si>
    <t>Bid-stage % less if scope handled by existing OH</t>
  </si>
  <si>
    <t>4</t>
  </si>
  <si>
    <t>Contractor profit / fee</t>
  </si>
  <si>
    <t>Total direct + OH</t>
  </si>
  <si>
    <t>Project complexity / risk</t>
  </si>
  <si>
    <t>5</t>
  </si>
  <si>
    <t>Bond + insurance adjustment</t>
  </si>
  <si>
    <t>1.5-3%</t>
  </si>
  <si>
    <t>Total contract increase</t>
  </si>
  <si>
    <t>Only if change increases bonded contract value</t>
  </si>
  <si>
    <t>6</t>
  </si>
  <si>
    <t>Sub-tier markup (if subbed)</t>
  </si>
  <si>
    <t>Sub price</t>
  </si>
  <si>
    <t>On flow-through subs only</t>
  </si>
  <si>
    <t>[TEMPLATE] Methodology selection should be agreed with Contract Administrator at project start. Daily T&amp;M sheets must be co-signed within 48 hours. Lump-sum change quotations to include itemised buildup of LEMSC + indirect + OH+P. Time impact analysis required if change affects critical path (CCDC 2 GC 6.5).</t>
  </si>
  <si>
    <t>PROJECT ESTIMATE ROLL-UP [TEMPLATE — enter values in blue cells; green cells calculated]</t>
  </si>
  <si>
    <t>Amount (CAD)</t>
  </si>
  <si>
    <t>Notes / Reference</t>
  </si>
  <si>
    <t>1.1</t>
  </si>
  <si>
    <t>Earthworks &amp; mass excavation</t>
  </si>
  <si>
    <t>From Sheet 08 section A; Σ Qty × Rate</t>
  </si>
  <si>
    <t>1.2</t>
  </si>
  <si>
    <t>SWM, ESC &amp; water management</t>
  </si>
  <si>
    <t>From Sheet 08 section B</t>
  </si>
  <si>
    <t>1.3</t>
  </si>
  <si>
    <t>Roads, pads &amp; working surfaces</t>
  </si>
  <si>
    <t>From Sheet 08 section C</t>
  </si>
  <si>
    <t>1.4</t>
  </si>
  <si>
    <t>WRSA / TMF embankment</t>
  </si>
  <si>
    <t>From Sheet 08 section D</t>
  </si>
  <si>
    <t>1.5</t>
  </si>
  <si>
    <t>Drainage, culverts &amp; piping</t>
  </si>
  <si>
    <t>From Sheet 08 section E</t>
  </si>
  <si>
    <t>1.6</t>
  </si>
  <si>
    <t>Concrete — civil</t>
  </si>
  <si>
    <t>From Sheet 08 section F</t>
  </si>
  <si>
    <t>1.7</t>
  </si>
  <si>
    <t>Structural steel &amp; enclosure</t>
  </si>
  <si>
    <t>From Sheet 08 section G</t>
  </si>
  <si>
    <t>1.8</t>
  </si>
  <si>
    <t>Geosynthetics &amp; liners</t>
  </si>
  <si>
    <t>From Sheet 08 section D liner items</t>
  </si>
  <si>
    <t>1.9</t>
  </si>
  <si>
    <t>Blasting (all-in)</t>
  </si>
  <si>
    <t>From Sheet 08 section I</t>
  </si>
  <si>
    <t>Buried services</t>
  </si>
  <si>
    <t>From Sheet 08 section K</t>
  </si>
  <si>
    <t>1.11</t>
  </si>
  <si>
    <t>Fencing, security &amp; wildlife</t>
  </si>
  <si>
    <t>From Sheet 08 section M</t>
  </si>
  <si>
    <t>Permanent dewatering</t>
  </si>
  <si>
    <t>From Sheet 08 section J</t>
  </si>
  <si>
    <t>1.13</t>
  </si>
  <si>
    <t>Closure &amp; reclamation</t>
  </si>
  <si>
    <t>From Sheet 08 section H</t>
  </si>
  <si>
    <t>SUBTOTAL DIRECT</t>
  </si>
  <si>
    <t>2.1</t>
  </si>
  <si>
    <t>CDI % of direct (input)</t>
  </si>
  <si>
    <t>Typical 12-18% Sheet 11/15</t>
  </si>
  <si>
    <t>CDI AMOUNT</t>
  </si>
  <si>
    <t>= Direct × CDI %</t>
  </si>
  <si>
    <t>3.1</t>
  </si>
  <si>
    <t>Company OH % of direct (input)</t>
  </si>
  <si>
    <t>Typical 6-12% Sheet 15</t>
  </si>
  <si>
    <t>COMPANY OH AMOUNT</t>
  </si>
  <si>
    <t>= Direct × OH %</t>
  </si>
  <si>
    <t>4.1</t>
  </si>
  <si>
    <t>Bond + Insurance % of contract (input)</t>
  </si>
  <si>
    <t>Typical 2-4% Sheet 12/15</t>
  </si>
  <si>
    <t>BOND + INSURANCE AMOUNT</t>
  </si>
  <si>
    <t>= (Direct + CDI + OH) × B+I %</t>
  </si>
  <si>
    <t>5.1</t>
  </si>
  <si>
    <t>Contingency % of direct (input)</t>
  </si>
  <si>
    <t>Typical 8-15% Sheet 15</t>
  </si>
  <si>
    <t>CONTINGENCY AMOUNT</t>
  </si>
  <si>
    <t>= Direct × Contingency %</t>
  </si>
  <si>
    <t>6.1</t>
  </si>
  <si>
    <t>Profit % of all costs (input)</t>
  </si>
  <si>
    <t>PROFIT AMOUNT</t>
  </si>
  <si>
    <t>= (Direct + CDI + OH + B+I + Cont.) × Profit %</t>
  </si>
  <si>
    <t>TOTAL BID (CAD)</t>
  </si>
  <si>
    <t>Cross-check $/m3 or $/m2 against Sheet 10</t>
  </si>
  <si>
    <t>[TEMPLATE] Populate Direct lines from MTO × unit rates (Sheet 08). Adjust % markups within the bands shown in Sheet 15. For Class 3 baseline use mid-range %. Apply regional adjustor (Sheet 14) to direct cost lines before summing if site is outside MB/SK baseline.</t>
  </si>
  <si>
    <t>RISK &amp; CONTINGENCY REGISTER [TEMPLATE — populate per project]</t>
  </si>
  <si>
    <t>Risk ID</t>
  </si>
  <si>
    <t>Risk Description</t>
  </si>
  <si>
    <t>Likelihood (1-5)</t>
  </si>
  <si>
    <t>Impact (1-5)</t>
  </si>
  <si>
    <t>Cost Impact (CAD)</t>
  </si>
  <si>
    <t>Schedule Impact (wk)</t>
  </si>
  <si>
    <t>Mitigation / Allocation</t>
  </si>
  <si>
    <t>R-01</t>
  </si>
  <si>
    <t>Geotechnical</t>
  </si>
  <si>
    <t>Unforeseen rock below estimated quantity</t>
  </si>
  <si>
    <t>Apply 3-8% earthworks contingency; rate adjustment per CCDC GC 6.4</t>
  </si>
  <si>
    <t>R-02</t>
  </si>
  <si>
    <t>Acid-generating waste rock encountered</t>
  </si>
  <si>
    <t>Owner-led environmental management; allow 1-3% allowance</t>
  </si>
  <si>
    <t>R-03</t>
  </si>
  <si>
    <t>Weather</t>
  </si>
  <si>
    <t>Extended winter shutdown / spring break-up beyond plan</t>
  </si>
  <si>
    <t>Apply 2-5% weather contingency; review work calendar</t>
  </si>
  <si>
    <t>R-04</t>
  </si>
  <si>
    <t>Market / Escalation</t>
  </si>
  <si>
    <t>Diesel price &gt;15% above bid basis over project life</t>
  </si>
  <si>
    <t>Apply 3-8% materials escalation; index fuel surcharge</t>
  </si>
  <si>
    <t>R-05</t>
  </si>
  <si>
    <t>Market / Tariff</t>
  </si>
  <si>
    <t>CBSA 25% surtax on Chinese steel/rebar extended</t>
  </si>
  <si>
    <t>Source Canadian/US; allow 5-10% on steel</t>
  </si>
  <si>
    <t>R-06</t>
  </si>
  <si>
    <t>Subcontractor</t>
  </si>
  <si>
    <t>Specialty sub (liner / blasting) default or delay</t>
  </si>
  <si>
    <t>Apply 1-3% sub default contingency; pre-qualify alts</t>
  </si>
  <si>
    <t>R-07</t>
  </si>
  <si>
    <t>Permits</t>
  </si>
  <si>
    <t>Environmental permit delay for fish habitat work</t>
  </si>
  <si>
    <t>Phase work; engage authority early</t>
  </si>
  <si>
    <t>R-08</t>
  </si>
  <si>
    <t>Labour</t>
  </si>
  <si>
    <t>Skilled trades shortage — Electrician / Welder</t>
  </si>
  <si>
    <t>Lock supply via early subcontracts; carry 5% labour premium</t>
  </si>
  <si>
    <t>R-09</t>
  </si>
  <si>
    <t>Indigenous</t>
  </si>
  <si>
    <t>IBA / community engagement delay</t>
  </si>
  <si>
    <t>Engage early; capture commitment in schedule</t>
  </si>
  <si>
    <t>R-10</t>
  </si>
  <si>
    <t>Owner</t>
  </si>
  <si>
    <t>Owner-supplied materials late</t>
  </si>
  <si>
    <t>Daily T&amp;M / standby for owner-caused delay (Sheet 13)</t>
  </si>
  <si>
    <t>R-11</t>
  </si>
  <si>
    <t>Quality / Rework</t>
  </si>
  <si>
    <t>HDPE liner CQA failures requiring re-weld / re-install</t>
  </si>
  <si>
    <t>Pre-qualify installer; require third-party CQA</t>
  </si>
  <si>
    <t>R-12</t>
  </si>
  <si>
    <t>Major incident causing site stop-work</t>
  </si>
  <si>
    <t>Strong safety culture; carry incident allowance per insurer</t>
  </si>
  <si>
    <t>[TEMPLATE] Likelihood × Impact = risk score. Items scoring ≥12 require explicit cost allocation. Total cost-weighted exposure (Σ Likelihood × Cost / 5) drives recommended contingency carry. Cross-reference Sheet 15 Layer 5 (Contingency &amp; Risk) allocations.</t>
  </si>
  <si>
    <t>GLOSSARY, ABBREVIATIONS &amp; UNITS OF MEASURE</t>
  </si>
  <si>
    <t>Term / Abbreviation</t>
  </si>
  <si>
    <t>Definition</t>
  </si>
  <si>
    <t>AACE</t>
  </si>
  <si>
    <t>Association for the Advancement of Cost Engineering International</t>
  </si>
  <si>
    <t>AACE 18R-97</t>
  </si>
  <si>
    <t>Cost Estimate Classification System — process industries (5-class system used here for mining heavy civil)</t>
  </si>
  <si>
    <t>AFE</t>
  </si>
  <si>
    <t>Authorization for Expenditure — owner approval at sanction (typically Class 2)</t>
  </si>
  <si>
    <t>BCPI</t>
  </si>
  <si>
    <t>Building Construction Price Index (Statistics Canada) — used for escalation</t>
  </si>
  <si>
    <t>CAD</t>
  </si>
  <si>
    <t>Canadian Dollar</t>
  </si>
  <si>
    <t>CBSA</t>
  </si>
  <si>
    <t>Canada Border Services Agency — administers steel/rebar surtax</t>
  </si>
  <si>
    <t>CDI</t>
  </si>
  <si>
    <t>Contractor Distributable Indirects — site indirects allocated across project (offices, supervision, etc.)</t>
  </si>
  <si>
    <t>CGL</t>
  </si>
  <si>
    <t>Commercial General Liability insurance</t>
  </si>
  <si>
    <t>CLAC</t>
  </si>
  <si>
    <t>Christian Labour Association of Canada — open shop / alternate to Building Trades</t>
  </si>
  <si>
    <t>CCDC</t>
  </si>
  <si>
    <t>Canadian Construction Documents Committee — standard forms (CCDC 2 = stipulated sum)</t>
  </si>
  <si>
    <t>CMS</t>
  </si>
  <si>
    <t>Construction Management Standard</t>
  </si>
  <si>
    <t>CQA</t>
  </si>
  <si>
    <t>Construction Quality Assurance (typically third-party)</t>
  </si>
  <si>
    <t>DRYROOM</t>
  </si>
  <si>
    <t>Heated change facility for clothing / gear storage</t>
  </si>
  <si>
    <t>DR-11 / DR-17</t>
  </si>
  <si>
    <t>HDPE pipe Dimension Ratio (wall thickness class)</t>
  </si>
  <si>
    <t>EHT</t>
  </si>
  <si>
    <t>Employer Health Tax (Ontario / BC)</t>
  </si>
  <si>
    <t>EPCM</t>
  </si>
  <si>
    <t>Engineering, Procurement and Construction Management</t>
  </si>
  <si>
    <t>ESC</t>
  </si>
  <si>
    <t>Erosion &amp; Sediment Control</t>
  </si>
  <si>
    <t>FID</t>
  </si>
  <si>
    <t>Final Investment Decision</t>
  </si>
  <si>
    <t>FIFO</t>
  </si>
  <si>
    <t>Fly-in / Fly-out (typically 14-on / 7-off rotation)</t>
  </si>
  <si>
    <t>HDPE</t>
  </si>
  <si>
    <t>High-Density Polyethylene</t>
  </si>
  <si>
    <t>Health, Safety, Environment</t>
  </si>
  <si>
    <t>IBA</t>
  </si>
  <si>
    <t>Impact Benefit Agreement (Indigenous communities)</t>
  </si>
  <si>
    <t>IFC</t>
  </si>
  <si>
    <t>Issued For Construction (drawing status)</t>
  </si>
  <si>
    <t>LOA</t>
  </si>
  <si>
    <t>Living Out Allowance (per-diem) for non-camp remote work</t>
  </si>
  <si>
    <t>MTO</t>
  </si>
  <si>
    <t>Material Take-Off (quantity survey from drawings)</t>
  </si>
  <si>
    <t>NCSO</t>
  </si>
  <si>
    <t>National Construction Safety Officer (Canadian certification)</t>
  </si>
  <si>
    <t>Natural Resources Canada (publishes diesel + commodity pricing)</t>
  </si>
  <si>
    <t>ROM</t>
  </si>
  <si>
    <t>Rough Order of Magnitude (Class 5/4 estimate)</t>
  </si>
  <si>
    <t>SoR</t>
  </si>
  <si>
    <t>Schedule of Rates</t>
  </si>
  <si>
    <t>SWM</t>
  </si>
  <si>
    <t>Stormwater Management</t>
  </si>
  <si>
    <t>SWPPP</t>
  </si>
  <si>
    <t>Stormwater Pollution Prevention Plan</t>
  </si>
  <si>
    <t>TMF</t>
  </si>
  <si>
    <t>Tailings Management Facility</t>
  </si>
  <si>
    <t>WBS</t>
  </si>
  <si>
    <t>Work Breakdown Structure</t>
  </si>
  <si>
    <t>WCB / WSIB</t>
  </si>
  <si>
    <t>Workers' Compensation Board / Ontario Workplace Safety &amp; Insurance Board</t>
  </si>
  <si>
    <t>WRSA</t>
  </si>
  <si>
    <t>Waste Rock Storage Area</t>
  </si>
  <si>
    <t>Std Proctor</t>
  </si>
  <si>
    <t>Standard Proctor density (ASTM D698)</t>
  </si>
  <si>
    <t>Crew code Bx/Cx</t>
  </si>
  <si>
    <t>SME crew classifications (see Sheet 04)</t>
  </si>
  <si>
    <t>Unit Man-Hours per UOM (productivity input)</t>
  </si>
  <si>
    <t>Unit of Measure (m, m2, m3, tonne, ea, LS)</t>
  </si>
  <si>
    <t>Lump Sum</t>
  </si>
  <si>
    <t>S+I</t>
  </si>
  <si>
    <t>Supply + Install</t>
  </si>
  <si>
    <t>S+F+P</t>
  </si>
  <si>
    <t>Supply + Form + Pour</t>
  </si>
  <si>
    <t>Std / SoR floor</t>
  </si>
  <si>
    <t>Lower benchmark in Sheet 10 below which bid is suspect</t>
  </si>
  <si>
    <t>Std / SoR ceiling</t>
  </si>
  <si>
    <t>Upper benchmark in Sheet 10 above which bid is suspect</t>
  </si>
  <si>
    <t>SOURCES, REFERENCES &amp; DATA PROVENANCE</t>
  </si>
  <si>
    <t>Reference</t>
  </si>
  <si>
    <t>Use in Manual</t>
  </si>
  <si>
    <t>STANDARDS</t>
  </si>
  <si>
    <t>AACE International Recommended Practice 18R-97 — Cost Estimate Classification System</t>
  </si>
  <si>
    <t>Sheet 03 — Class 5 through Class 1 framework</t>
  </si>
  <si>
    <t>ASTM D698 — Standard Proctor; ASTM D1557 — Modified Proctor</t>
  </si>
  <si>
    <t>Sheet 17 — earthworks compaction acceptance</t>
  </si>
  <si>
    <t>ASTM D4439 — Geosynthetics terminology</t>
  </si>
  <si>
    <t>Sheet 03 / 08 — geotextile overlap allowances</t>
  </si>
  <si>
    <t>CCDC 2 — Stipulated Sum Contract (Canadian Construction Documents Committee)</t>
  </si>
  <si>
    <t>Sheets 12, 18, 20 — bond, warranty, change order provisions</t>
  </si>
  <si>
    <t>Canadian Dam Association Dam Safety Guidelines</t>
  </si>
  <si>
    <t>Sheet 08 section D — TMF embankment construction</t>
  </si>
  <si>
    <t>INDICES</t>
  </si>
  <si>
    <t>Statistics Canada — Building Construction Price Index (BCPI), quarterly</t>
  </si>
  <si>
    <t>Sheet 03 / 14 — Q2-2020 → Q2-2026 x1.25 escalation</t>
  </si>
  <si>
    <t>Natural Resources Canada (NRCan) — Diesel Pricing, weekly</t>
  </si>
  <si>
    <t>Sheet 03 — diesel price by region</t>
  </si>
  <si>
    <t>Bank of Canada — USD/CAD exchange rate</t>
  </si>
  <si>
    <t>Sheet 03 / 14 — currency basis</t>
  </si>
  <si>
    <t>AUTHORITIES</t>
  </si>
  <si>
    <t>Canada Border Services Agency — Notices 24-26 and 25-22 (steel / rebar surtax)</t>
  </si>
  <si>
    <t>Sheet 03 / 14 — 25% surtax on Chinese-origin material</t>
  </si>
  <si>
    <t>Provincial WCB / WSIB / CNESST / WorkSafeBC / WorkplaceNL — premium rate tables</t>
  </si>
  <si>
    <t>Sheet 12 — WCB by province</t>
  </si>
  <si>
    <t>Nova Scotia Energy Regulatory Board — Atlantic diesel price</t>
  </si>
  <si>
    <t>Sheet 03 / 14 — Atlantic diesel</t>
  </si>
  <si>
    <t>INTERNAL</t>
  </si>
  <si>
    <t>Rev G workbook — RMM-CIVIL-CONTRACTOR-CANADA-2026-REV0 (Contractor Bid Tool)</t>
  </si>
  <si>
    <t>Source: Bid Summary, Missing Unit Rates, Bonding &amp; Ins., Overhead, Standby, Bid Screening</t>
  </si>
  <si>
    <t>Rev E workbook — RMM-CIVIL-CANADA-2026-REV0 (EPCM Benchmark Estimator)</t>
  </si>
  <si>
    <t>Source: Crew, Labour, Equipment Rates, Heavy Civil Unit Rates, SME Factors</t>
  </si>
  <si>
    <t>Ausenco go-by Q2-2020 (Senior PD / EPCM reference)</t>
  </si>
  <si>
    <t>Sheet 04 — crew rate baseline pre-escalation</t>
  </si>
  <si>
    <t>SUPPLIERS</t>
  </si>
  <si>
    <t>Armtec — CSP culvert and flow guard pricing (Dec-2025)</t>
  </si>
  <si>
    <t>Sheet 08 section E — culvert pricing</t>
  </si>
  <si>
    <t>Various HDPE pipe suppliers — Jan-2026 quotes +15% install factor</t>
  </si>
  <si>
    <t>Sheet 08 section E — HDPE pipe pricing</t>
  </si>
  <si>
    <t>BENCHMARKS</t>
  </si>
  <si>
    <t>SME benchmark observations 2024-2026 — NL, NS, NB, ON, MB, BC, NT mining civil contracts</t>
  </si>
  <si>
    <t>Sheet 10 — bid screening floors/ceilings</t>
  </si>
  <si>
    <t>METHODOLOGY</t>
  </si>
  <si>
    <t>Standard industry practice — contractor markup stack and CDI percentages</t>
  </si>
  <si>
    <t>Sheet 15 — 6-layer bid model</t>
  </si>
  <si>
    <t>CCDC 2 GC 6.2 / 6.4 / 6.5 — change order provisions</t>
  </si>
  <si>
    <t>Sheet 20 — change order pricing</t>
  </si>
  <si>
    <t>REAL MARKET BENCHMARK — SME RANGES vs PUBLIC TENDER ACTUALS — CANADA 2026</t>
  </si>
  <si>
    <t>Primary source: Alberta Transportation 2026 Unit Price Averages — weighted avg of 3 lowest bids on tenders awarded May 1, 2024 – Sep 30, 2025. Province-wide value. Supplementary: BC Road Builders 2026 awards, NRCan diesel pricing, public tender platforms.</t>
  </si>
  <si>
    <t>Match Cat.</t>
  </si>
  <si>
    <t>AB UPA Item Code</t>
  </si>
  <si>
    <t>AB UPA Description</t>
  </si>
  <si>
    <t>AB UPA 2026 Province Avg ($)</t>
  </si>
  <si>
    <t>AB Contracts (n)</t>
  </si>
  <si>
    <t>AB Total Qty</t>
  </si>
  <si>
    <t>SME Floor (CAD)</t>
  </si>
  <si>
    <t>SME Ceiling (CAD)</t>
  </si>
  <si>
    <t>Verdict / Variance Note</t>
  </si>
  <si>
    <t>B100</t>
  </si>
  <si>
    <t>Subgrade Excavation</t>
  </si>
  <si>
    <t>m³</t>
  </si>
  <si>
    <t>No direct SME match (subgrade prep only). See Sheet 08 C-30-002 (haul road sub-grade $14-$22/m²).</t>
  </si>
  <si>
    <t>C064</t>
  </si>
  <si>
    <t>Wet Excavation - Type 2</t>
  </si>
  <si>
    <t>Wet excav in saturated ground. No direct match — SME common excav ~$24-$32/m³ (C-10-002) is dry-haul.</t>
  </si>
  <si>
    <t>G225</t>
  </si>
  <si>
    <t>Common Excavation</t>
  </si>
  <si>
    <t>AB UPA $8.20 well below SME $24-$32. Note: AB UPA is balanced cut-and-fill on highway projects (no haul); SME C-10-002 includes 1-3 km haul. AB G248+G249 (excav loaded + truck haul) sums $15.22 + $0.44/m³·km = ~$17-$22 for 5-10 km — within SME range.</t>
  </si>
  <si>
    <t>G248</t>
  </si>
  <si>
    <t>Common/Borrow Excavation Loaded to Trucks</t>
  </si>
  <si>
    <t>Excav+load only (no haul). Add ~$0.44/m³·km for haul (G249). At 2 km haul = $16.10/m³; at 10 km = $19.62/m³. SME range covers.</t>
  </si>
  <si>
    <t>G236</t>
  </si>
  <si>
    <t>Borrow Excavation - Contractor Supplied</t>
  </si>
  <si>
    <t>Engineered fill from contractor borrow. AB UPA mid-range matches SME C-40-002 ($22-$32/m³) — WITHIN.</t>
  </si>
  <si>
    <t>G230</t>
  </si>
  <si>
    <t>Borrow Topsoil Excavation</t>
  </si>
  <si>
    <t>Topsoil strip only; no direct SME match (SME C-10-008 overburden strip $18-$28/m³ includes haul).</t>
  </si>
  <si>
    <t>G239</t>
  </si>
  <si>
    <t>Overhaul (cubic metre-kilometre)</t>
  </si>
  <si>
    <t>m³·km</t>
  </si>
  <si>
    <t>Haul-distance premium — applies to all mass earthworks. AB UPA Northern Region. Multiply by km if &gt;1 km haul.</t>
  </si>
  <si>
    <t>G300</t>
  </si>
  <si>
    <t>Topsoil Placement</t>
  </si>
  <si>
    <t>m²</t>
  </si>
  <si>
    <t>Per m² spread. Convert to m³ at 200mm depth: $0.93/0.2 = $4.65/m³. SME C-10-012 $55-$80/m³ INCLUDES supply — AB UPA is placement only.</t>
  </si>
  <si>
    <t>GRANULAR</t>
  </si>
  <si>
    <t>A805</t>
  </si>
  <si>
    <t>Supply of Aggregate - No Option</t>
  </si>
  <si>
    <t>Mine-mouth supply rate (royalty only). SME crushing operating B-09-002 $4.50-$9.50/t — different scope.</t>
  </si>
  <si>
    <t>B282</t>
  </si>
  <si>
    <t>Granular Base Course Des.2 Cl.25</t>
  </si>
  <si>
    <t>Per tonne placed. Convert at 2.0 t/m³ density: $34.27 × 2.0 = $68.54/m³. SME C-10-009 Granular A $105-$135/m³ is ABOVE AB UPA — SME includes higher mining-grade haul, mining-site overheads.</t>
  </si>
  <si>
    <t>B152</t>
  </si>
  <si>
    <t>Granular Fill</t>
  </si>
  <si>
    <t>Per tonne; basis comparable to B282.</t>
  </si>
  <si>
    <t>B180</t>
  </si>
  <si>
    <t>Preparing Subgrade Surface (First Layer)</t>
  </si>
  <si>
    <t>Grade and compact only. SME C-30-002 haul road sub-grade $14-$22/m² includes cut+fill — AB UPA is finish-grade only.</t>
  </si>
  <si>
    <t>D235</t>
  </si>
  <si>
    <t>Granular Backfill - Culverts</t>
  </si>
  <si>
    <t>Trench backfill premium (smaller qty). Compares vs SME C-10-005 Type 2 $55-$68/m³ (at 2.0t/m³ = $27-$34/t). AB UPA HIGHER — culvert backfill is specialty work.</t>
  </si>
  <si>
    <t>CULVERTS</t>
  </si>
  <si>
    <t>D405</t>
  </si>
  <si>
    <t>Culvert S+I (500 mm dia. CSP)</t>
  </si>
  <si>
    <t>No SME 500mm match (SME C-50-002 starts at 750mm $580-$750/m). 500mm extrapolated ~$430-$580.</t>
  </si>
  <si>
    <t>D410</t>
  </si>
  <si>
    <t>Culvert S+I (600 mm dia. CSP)</t>
  </si>
  <si>
    <t>No direct SME 600mm. Comparable to SME C-50-002 (750mm $580-$750/m) — AB UPA LOWER, reflects high-vol highway pricing.</t>
  </si>
  <si>
    <t>D415</t>
  </si>
  <si>
    <t>Culvert S+I (700 mm dia. CSP)</t>
  </si>
  <si>
    <t>Below SME floor by 12%. AB UPA = highway volume; SME C-50-002 includes mining-site indirects + bedding spec.</t>
  </si>
  <si>
    <t>D425</t>
  </si>
  <si>
    <t>Culvert S+I (800 mm dia. CSP)</t>
  </si>
  <si>
    <t>AB UPA just below SME C-50-002 floor — high-volume pricing. SME floor justified for mining-site setting.</t>
  </si>
  <si>
    <t>D430</t>
  </si>
  <si>
    <t>Culvert S+I (900 mm dia. CSP)</t>
  </si>
  <si>
    <t>AB UPA $720 WITHIN SME C-50-003 $680-$880. ✓</t>
  </si>
  <si>
    <t>D431</t>
  </si>
  <si>
    <t>Culvert S+I (1000 mm dia. CSP)</t>
  </si>
  <si>
    <t>AB UPA $824 WITHIN SME C-50-004 $800-$1,020. ✓</t>
  </si>
  <si>
    <t>D500</t>
  </si>
  <si>
    <t>Smooth Wall Steel Pipe S+I (750 mm dia.)</t>
  </si>
  <si>
    <t>Specialty large steel pipe — no SME match. Outside heavy civil typical.</t>
  </si>
  <si>
    <t>D520</t>
  </si>
  <si>
    <t>Smooth Wall Steel Pipe S+I (800 mm dia.)</t>
  </si>
  <si>
    <t>Specialty steel pipe.</t>
  </si>
  <si>
    <t>D540</t>
  </si>
  <si>
    <t>Grouting of Abandoned Culverts</t>
  </si>
  <si>
    <t>Specialty work — abandoning existing culverts. No SME match.</t>
  </si>
  <si>
    <t>D615</t>
  </si>
  <si>
    <t>Perforated Pipe - Supply and Install</t>
  </si>
  <si>
    <t>Toe drain / underdrain. Compares to SME T-20-008 toe drain $165-$285/m — WITHIN.</t>
  </si>
  <si>
    <t>D787</t>
  </si>
  <si>
    <t>Concrete Storm Sewer - Supply and Install</t>
  </si>
  <si>
    <t>Reinforced concrete storm sewer. No direct SME match.</t>
  </si>
  <si>
    <t>RIPRAP</t>
  </si>
  <si>
    <t>F500</t>
  </si>
  <si>
    <t>Heavy Rock Riprap (Class 1, D50 = 150 mm)</t>
  </si>
  <si>
    <t>AB UPA $313 vs SME C-20-002 / HY-80-002 $65-$140. AB UPA dramatically HIGHER — AB UPA is bridge-spec quarried rock with strict size grading + haul; SME is mining-site bulk rip-rap. SME floor justified for mining bulk; AB UPA for spec'd structures.</t>
  </si>
  <si>
    <t>F505</t>
  </si>
  <si>
    <t>Heavy Rock Riprap (Class 1M)</t>
  </si>
  <si>
    <t>Same comment as F500 — quarried spec rock.</t>
  </si>
  <si>
    <t>F515</t>
  </si>
  <si>
    <t>Heavy Rock Riprap (Class 2, D50 = 300 mm)</t>
  </si>
  <si>
    <t>AB UPA still dramatically higher than mining-site SME. Use SME range for tailings/WRSA riprap; use AB UPA for engineered structural rip-rap.</t>
  </si>
  <si>
    <t>F595</t>
  </si>
  <si>
    <t>Concrete Slope Protection</t>
  </si>
  <si>
    <t>Concrete slope protection — premium scope. No direct SME match.</t>
  </si>
  <si>
    <t>X346</t>
  </si>
  <si>
    <t>Hand-Laid Riprap - Other Locations</t>
  </si>
  <si>
    <t>Hand-laid premium; small areas. No SME match.</t>
  </si>
  <si>
    <t>F775</t>
  </si>
  <si>
    <t>Deck Overlay Concrete - Supply</t>
  </si>
  <si>
    <t>AB UPA just BELOW SME floor for foundation/wall. Deck overlay is thinner / higher-strength (different mix). Reasonable cross-check.</t>
  </si>
  <si>
    <t>F822</t>
  </si>
  <si>
    <t>Concrete - Pile (cast-in-place)</t>
  </si>
  <si>
    <t>Pile concrete includes drilling — different unit. NOT directly comparable to SME.</t>
  </si>
  <si>
    <t>F834</t>
  </si>
  <si>
    <t>Concrete - Class C (footings/grade beams)</t>
  </si>
  <si>
    <t>AB UPA $1,951 BELOW SME floor $2,200. SME range C-60-002 reflects mining-site indirects + cold-weather pours + remoteness.</t>
  </si>
  <si>
    <t>F841</t>
  </si>
  <si>
    <t>Concrete - Class HPC (high performance)</t>
  </si>
  <si>
    <t>AB UPA $2,692 WITHIN SME range $2,200-$3,500. ✓</t>
  </si>
  <si>
    <t>X440</t>
  </si>
  <si>
    <t>Median Concrete Surfacing</t>
  </si>
  <si>
    <t>Median paving — no SME match. Comparable lighter concrete.</t>
  </si>
  <si>
    <t>ASPHALT</t>
  </si>
  <si>
    <t>F980</t>
  </si>
  <si>
    <t>Asphalt Concrete Pavement</t>
  </si>
  <si>
    <t>Small qty bridge approach asphalt — premium. SME C-30-005 $45-$62/m² (at 0.115 t/m² × $565 = $65/m²) — WITHIN.</t>
  </si>
  <si>
    <t>Q998</t>
  </si>
  <si>
    <t>Asphalt Concrete Pavement - Superpave</t>
  </si>
  <si>
    <t>Bulk highway asphalt — $147.89/t. Convert at 100mm × 2.3 t/m³ = $34/m². SME C-30-005 $45-$62/m² is for thinner 50mm HL3 — mining-site SME includes more indirects.</t>
  </si>
  <si>
    <t>Q990</t>
  </si>
  <si>
    <t>Asphalt Concrete Pavement - EPS Mix Type H1</t>
  </si>
  <si>
    <t>Highest-volume bid (148,400 t) — biggest discount possible at scale.</t>
  </si>
  <si>
    <t>Q991</t>
  </si>
  <si>
    <t>Asphalt Concrete Pavement - EPS Mix Type H2</t>
  </si>
  <si>
    <t>Volume discount tier</t>
  </si>
  <si>
    <t>TRENCHING</t>
  </si>
  <si>
    <t>U100</t>
  </si>
  <si>
    <t>Trenching and Backfilling</t>
  </si>
  <si>
    <t>Bare trenching only (electrical conduit context). SME B-03-004 sanitary sewer $380-$520/m INCLUDES pipe + bedding + manhole — different scope.</t>
  </si>
  <si>
    <t>E435</t>
  </si>
  <si>
    <t>Erosion Control Barrier (Silt Fence)</t>
  </si>
  <si>
    <t>AB UPA $15.16 just BELOW SME C-20-008 floor $18. AB UPA highway volumes vs mining-site SME bracket — both reasonable.</t>
  </si>
  <si>
    <t>E452</t>
  </si>
  <si>
    <t>Non-Woven Geotextile - Supply and Install</t>
  </si>
  <si>
    <t>AB UPA $2.82 BELOW SME C-20-007 floor $3 by ~6%. AB UPA used as cushion; SME is for separation + slightly heavier 6 oz. CLOSE — WITHIN tolerance.</t>
  </si>
  <si>
    <t>G452</t>
  </si>
  <si>
    <t>Remove and Dispose of Existing Fence</t>
  </si>
  <si>
    <t>Demolition, not new install.</t>
  </si>
  <si>
    <t>G470</t>
  </si>
  <si>
    <t>New Fence S+I - Class A (highway)</t>
  </si>
  <si>
    <t>Highway fencing per km. SME B-05-002 chain link 2.4m security $110-$165/m = $110,000-$165,000/km. AB UPA much lower — different fence type (lighter highway, not security).</t>
  </si>
  <si>
    <t>G475</t>
  </si>
  <si>
    <t>New Fence S+I - Class B</t>
  </si>
  <si>
    <t>Light highway fencing.</t>
  </si>
  <si>
    <t>SEEDING</t>
  </si>
  <si>
    <t>E608</t>
  </si>
  <si>
    <t>Broad-Cast Seeding</t>
  </si>
  <si>
    <t>Per hectare = $0.21/m². SME C-10-013 $4-$8/m² includes hydroseeding + spreading — different scope.</t>
  </si>
  <si>
    <t>E609</t>
  </si>
  <si>
    <t>Hydro-Seeding</t>
  </si>
  <si>
    <t>Per hectare = $2.24/m². SME C-10-013 $4-$8/m² ABOVE AB UPA — SME includes provincial spec restoration.</t>
  </si>
  <si>
    <t>MILLING</t>
  </si>
  <si>
    <t>Q554</t>
  </si>
  <si>
    <t>Cold Milling Asphalt Pavement (≤50mm)</t>
  </si>
  <si>
    <t>Existing pavement demolition. No SME match.</t>
  </si>
  <si>
    <t>Q565</t>
  </si>
  <si>
    <t>Cold Milling Asphalt Pavement</t>
  </si>
  <si>
    <t>Larger cold milling depth.</t>
  </si>
  <si>
    <t>CURB</t>
  </si>
  <si>
    <t>X320</t>
  </si>
  <si>
    <t>Concrete Curb</t>
  </si>
  <si>
    <t>AB UPA $170 WITHIN ~10% of SME B-04-003 floor $185. SME includes mining-site indirects. ✓ CLOSE WITHIN.</t>
  </si>
  <si>
    <t>X235</t>
  </si>
  <si>
    <t>Concrete Curb - Remove and Dispose</t>
  </si>
  <si>
    <t>Demolition only — no SME match.</t>
  </si>
  <si>
    <t>ELECTRICAL</t>
  </si>
  <si>
    <t>S400</t>
  </si>
  <si>
    <t>Underground Electrical Conduit Trench Excavation</t>
  </si>
  <si>
    <t>Per metre trench for electrical only — limited cross-ref.</t>
  </si>
  <si>
    <t>U120</t>
  </si>
  <si>
    <t>Cast-In-Place Concrete Street Light Base</t>
  </si>
  <si>
    <t>AB UPA $4,760 ABOVE SME EL-70-003 ceiling $3,500. Street light bases include sleeves, bolt patterns, conduit — premium scope.</t>
  </si>
  <si>
    <t>U122</t>
  </si>
  <si>
    <t>Pre-Cast Concrete Street Light Base</t>
  </si>
  <si>
    <t>AB UPA $3,481 WITHIN SME range. ✓</t>
  </si>
  <si>
    <t>BENCHMARK SUMMARY — INTERPRETATION</t>
  </si>
  <si>
    <t>1. Where AB UPA falls WITHIN the SME range (green): the SME range is well-calibrated to real Canadian public-tender market. Use SME confidently.</t>
  </si>
  <si>
    <t>2. Where AB UPA falls BELOW the SME floor (amber): SME range is conservative — typically because mining-site SME includes additional camp/LOA, remote indirects, mining-spec QA, and risk premium. SME floor justified for remote mining; consider lower bound for accessible drive-in projects.</t>
  </si>
  <si>
    <t>3. Where AB UPA falls ABOVE the SME ceiling (red): typically the AB UPA item has additional specialty scope (bridge-grade quarry rock, specialty steel pipe, deck overlay) — not directly comparable. Review SME scope inclusion.</t>
  </si>
  <si>
    <t>4. AB UPA is HIGHWAY tender data, not mining tender data. It is the closest available public benchmark for civil unit rates in Canada. NI 43-101 filings have aggregate capex but rarely line-item unit rates publicly. Detailed mining tender unit rates are commercial-in-confidence.</t>
  </si>
  <si>
    <t>5. Adjust AB UPA to mining-site context by adding: (a) camp/LOA per Sheet 05 if remote; (b) regional adjustor per Sheet 14 if not Alberta; (c) mining-spec QC overhead if applicable.</t>
  </si>
  <si>
    <t>DATA SOURCES &amp; PROVENANCE</t>
  </si>
  <si>
    <t>WEB</t>
  </si>
  <si>
    <t>Alberta Transportation Unit Price Averages 2026 (XLSX)</t>
  </si>
  <si>
    <t>https://www.alberta.ca/system/files/custom_downloaded_images/trans-unit-price-averages.xlsx</t>
  </si>
  <si>
    <t>Alberta Transportation — Unit Prices and Cost Adjustments page</t>
  </si>
  <si>
    <t>https://www.alberta.ca/unit-prices-and-cost-adjustments</t>
  </si>
  <si>
    <t>BC Road Builders — Tender Report (BC highway awards)</t>
  </si>
  <si>
    <t>https://www.roadbuilders.bc.ca/tender-report/</t>
  </si>
  <si>
    <t>CanadaBuys / MERX — Federal procurement portal</t>
  </si>
  <si>
    <t>https://canadabuys.canada.ca/</t>
  </si>
  <si>
    <t>SaskTenders — Saskatchewan public sector tendering</t>
  </si>
  <si>
    <t>https://sasktenders.ca/</t>
  </si>
  <si>
    <t>Manitoba Infrastructure — Tendering &amp; Contracts (bid results)</t>
  </si>
  <si>
    <t>https://www.gov.mb.ca/mti/contracts/bidresults.html</t>
  </si>
  <si>
    <t>MERX — Saskatchewan, Manitoba and federal opportunities</t>
  </si>
  <si>
    <t>https://www.merx.com/</t>
  </si>
  <si>
    <t>Natural Resources Canada — Mining Capital Expenditures</t>
  </si>
  <si>
    <t>https://natural-resources.canada.ca/minerals-mining/mining-data-statistics-analysis/minerals-mining-publications/capital-expenditures</t>
  </si>
  <si>
    <t>Statistics Canada — Building Construction Price Index (BCPI)</t>
  </si>
  <si>
    <t>https://www.statcan.gc.ca/</t>
  </si>
  <si>
    <t>CBSA — Notices on Chinese steel/rebar surtax (24-26 / 25-22)</t>
  </si>
  <si>
    <t>https://www.cbsa-asfc.gc.ca/</t>
  </si>
  <si>
    <t>Bank of Canada — Exchange rates (USD/CAD)</t>
  </si>
  <si>
    <t>https://www.bankofcanada.ca/rates/exchange/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</si>
</sst>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&quot;$&quot;#,##0.00"/>
    <numFmt numFmtId="166" formatCode="0.0%"/>
  </numFmts>
  <fonts count="1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rgb="FF1F4E79"/>
      <name val="Calibri"/>
      <family val="2"/>
      <scheme val="minor"/>
    </font>
    <font>
      <b/>
      <sz val="10"/>
      <color rgb="FF0F2F4D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rgb="FF4F7942"/>
      <name val="Calibri"/>
      <family val="2"/>
      <scheme val="minor"/>
    </font>
    <font>
      <b/>
      <sz val="9"/>
      <color rgb="FFC9A227"/>
      <name val="Calibri"/>
      <family val="2"/>
      <scheme val="minor"/>
    </font>
    <font>
      <b/>
      <sz val="9"/>
      <color rgb="FF4F7942"/>
      <name val="Calibri"/>
      <family val="2"/>
      <scheme val="minor"/>
    </font>
    <font>
      <b/>
      <sz val="9"/>
      <color rgb="FFA6323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4F7942"/>
        <bgColor indexed="64"/>
      </patternFill>
    </fill>
    <fill>
      <patternFill patternType="solid">
        <fgColor rgb="FFA63232"/>
        <bgColor indexed="64"/>
      </patternFill>
    </fill>
  </fills>
  <borders count="5">
    <border>
      <left/>
      <right/>
      <top/>
      <bottom/>
      <diagonal/>
    </border>
    <border>
      <left style="thin">
        <color rgb="FF0F2F4D"/>
      </left>
      <right style="thin">
        <color rgb="FF0F2F4D"/>
      </right>
      <top style="thin">
        <color rgb="FF0F2F4D"/>
      </top>
      <bottom style="thin">
        <color rgb="FF0F2F4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4F7942"/>
      </left>
      <right style="thin">
        <color rgb="FF4F7942"/>
      </right>
      <top style="thin">
        <color rgb="FF4F7942"/>
      </top>
      <bottom style="thin">
        <color rgb="FF4F7942"/>
      </bottom>
      <diagonal/>
    </border>
    <border>
      <left style="thin">
        <color rgb="FFA63232"/>
      </left>
      <right style="thin">
        <color rgb="FFA63232"/>
      </right>
      <top style="thin">
        <color rgb="FFA63232"/>
      </top>
      <bottom style="thin">
        <color rgb="FFA6323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/>
    </xf>
    <xf numFmtId="0" fontId="8" fillId="4" borderId="2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right" vertical="top"/>
    </xf>
    <xf numFmtId="165" fontId="11" fillId="6" borderId="2" xfId="0" applyNumberFormat="1" applyFont="1" applyFill="1" applyBorder="1" applyAlignment="1">
      <alignment horizontal="right" vertical="top"/>
    </xf>
    <xf numFmtId="166" fontId="11" fillId="6" borderId="2" xfId="0" applyNumberFormat="1" applyFont="1" applyFill="1" applyBorder="1" applyAlignment="1">
      <alignment horizontal="right" vertical="top"/>
    </xf>
    <xf numFmtId="165" fontId="4" fillId="7" borderId="2" xfId="0" applyNumberFormat="1" applyFont="1" applyFill="1" applyBorder="1" applyAlignment="1">
      <alignment horizontal="right" vertical="top"/>
    </xf>
    <xf numFmtId="165" fontId="3" fillId="6" borderId="2" xfId="0" applyNumberFormat="1" applyFont="1" applyFill="1" applyBorder="1" applyAlignment="1">
      <alignment horizontal="right" vertical="top"/>
    </xf>
    <xf numFmtId="0" fontId="6" fillId="8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berta.ca/system/files/custom_downloaded_images/trans-unit-price-averages.xlsx" TargetMode="External"/><Relationship Id="rId2" Type="http://schemas.openxmlformats.org/officeDocument/2006/relationships/hyperlink" Target="https://www.alberta.ca/unit-prices-and-cost-adjustments" TargetMode="External"/><Relationship Id="rId3" Type="http://schemas.openxmlformats.org/officeDocument/2006/relationships/hyperlink" Target="https://www.roadbuilders.bc.ca/tender-report/" TargetMode="External"/><Relationship Id="rId4" Type="http://schemas.openxmlformats.org/officeDocument/2006/relationships/hyperlink" Target="https://canadabuys.canada.ca/" TargetMode="External"/><Relationship Id="rId5" Type="http://schemas.openxmlformats.org/officeDocument/2006/relationships/hyperlink" Target="https://sasktenders.ca/" TargetMode="External"/><Relationship Id="rId6" Type="http://schemas.openxmlformats.org/officeDocument/2006/relationships/hyperlink" Target="https://www.gov.mb.ca/mti/contracts/bidresults.html" TargetMode="External"/><Relationship Id="rId7" Type="http://schemas.openxmlformats.org/officeDocument/2006/relationships/hyperlink" Target="https://www.merx.com/" TargetMode="External"/><Relationship Id="rId8" Type="http://schemas.openxmlformats.org/officeDocument/2006/relationships/hyperlink" Target="https://natural-resources.canada.ca/minerals-mining/mining-data-statistics-analysis/minerals-mining-publications/capital-expenditures" TargetMode="External"/><Relationship Id="rId9" Type="http://schemas.openxmlformats.org/officeDocument/2006/relationships/hyperlink" Target="https://www.statcan.gc.ca/" TargetMode="External"/><Relationship Id="rId10" Type="http://schemas.openxmlformats.org/officeDocument/2006/relationships/hyperlink" Target="https://www.cbsa-asfc.gc.ca/" TargetMode="External"/><Relationship Id="rId11" Type="http://schemas.openxmlformats.org/officeDocument/2006/relationships/hyperlink" Target="https://www.bankofcanada.ca/rates/exch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8" customHeight="1">
      <c r="A4" s="3" t="s">
        <v>2</v>
      </c>
      <c r="B4" s="4" t="s">
        <v>3</v>
      </c>
    </row>
    <row r="5" spans="1:2" ht="28" customHeight="1">
      <c r="A5" s="3" t="s">
        <v>4</v>
      </c>
      <c r="B5" s="4" t="s">
        <v>5</v>
      </c>
    </row>
    <row r="6" spans="1:2" ht="28" customHeight="1">
      <c r="A6" s="3" t="s">
        <v>6</v>
      </c>
      <c r="B6" s="4" t="s">
        <v>7</v>
      </c>
    </row>
    <row r="7" spans="1:2" ht="28" customHeight="1">
      <c r="A7" s="3" t="s">
        <v>8</v>
      </c>
      <c r="B7" s="4" t="s">
        <v>9</v>
      </c>
    </row>
    <row r="8" spans="1:2" ht="28" customHeight="1">
      <c r="A8" s="3" t="s">
        <v>10</v>
      </c>
      <c r="B8" s="4" t="s">
        <v>11</v>
      </c>
    </row>
    <row r="9" spans="1:2" ht="28" customHeight="1">
      <c r="A9" s="3" t="s">
        <v>12</v>
      </c>
      <c r="B9" s="4" t="s">
        <v>13</v>
      </c>
    </row>
    <row r="10" spans="1:2" ht="28" customHeight="1">
      <c r="A10" s="3" t="s">
        <v>14</v>
      </c>
      <c r="B10" s="4" t="s">
        <v>15</v>
      </c>
    </row>
    <row r="11" spans="1:2" ht="28" customHeight="1">
      <c r="A11" s="3" t="s">
        <v>16</v>
      </c>
      <c r="B11" s="4" t="s">
        <v>17</v>
      </c>
    </row>
    <row r="12" spans="1:2" ht="28" customHeight="1">
      <c r="A12" s="3" t="s">
        <v>18</v>
      </c>
      <c r="B12" s="4" t="s">
        <v>19</v>
      </c>
    </row>
    <row r="13" spans="1:2" ht="28" customHeight="1">
      <c r="A13" s="3" t="s">
        <v>20</v>
      </c>
      <c r="B13" s="4" t="s">
        <v>21</v>
      </c>
    </row>
    <row r="14" spans="1:2" ht="28" customHeight="1">
      <c r="A14" s="3" t="s">
        <v>22</v>
      </c>
      <c r="B14" s="4" t="s">
        <v>23</v>
      </c>
    </row>
    <row r="15" spans="1:2" ht="28" customHeight="1">
      <c r="A15" s="3" t="s">
        <v>24</v>
      </c>
      <c r="B15" s="4" t="s">
        <v>25</v>
      </c>
    </row>
    <row r="16" spans="1:2" ht="28" customHeight="1">
      <c r="A16" s="3" t="s">
        <v>26</v>
      </c>
      <c r="B16" s="4" t="s">
        <v>27</v>
      </c>
    </row>
    <row r="17" spans="1:2" ht="28" customHeight="1">
      <c r="A17" s="3" t="s">
        <v>28</v>
      </c>
      <c r="B17" s="4" t="s">
        <v>29</v>
      </c>
    </row>
    <row r="18" spans="1:2" ht="28" customHeight="1">
      <c r="A18" s="3" t="s">
        <v>30</v>
      </c>
      <c r="B18" s="4" t="s">
        <v>31</v>
      </c>
    </row>
    <row r="19" spans="1:2" ht="28" customHeight="1">
      <c r="A19" s="3" t="s">
        <v>32</v>
      </c>
      <c r="B19" s="4" t="s">
        <v>33</v>
      </c>
    </row>
    <row r="21" spans="1:2">
      <c r="A21" s="5" t="s">
        <v>34</v>
      </c>
      <c r="B21" s="5"/>
    </row>
    <row r="22" spans="1:2" ht="22" customHeight="1">
      <c r="A22" s="3" t="s">
        <v>35</v>
      </c>
      <c r="B22" s="4" t="s">
        <v>36</v>
      </c>
    </row>
    <row r="23" spans="1:2" ht="22" customHeight="1">
      <c r="A23" s="3" t="s">
        <v>37</v>
      </c>
      <c r="B23" s="4" t="s">
        <v>38</v>
      </c>
    </row>
    <row r="24" spans="1:2" ht="22" customHeight="1">
      <c r="A24" s="3" t="s">
        <v>39</v>
      </c>
      <c r="B24" s="4" t="s">
        <v>40</v>
      </c>
    </row>
    <row r="25" spans="1:2" ht="22" customHeight="1">
      <c r="A25" s="3" t="s">
        <v>41</v>
      </c>
      <c r="B25" s="4" t="s">
        <v>42</v>
      </c>
    </row>
    <row r="26" spans="1:2" ht="22" customHeight="1">
      <c r="A26" s="3" t="s">
        <v>43</v>
      </c>
      <c r="B26" s="4" t="s">
        <v>44</v>
      </c>
    </row>
    <row r="27" spans="1:2" ht="22" customHeight="1">
      <c r="A27" s="3" t="s">
        <v>45</v>
      </c>
      <c r="B27" s="4" t="s">
        <v>46</v>
      </c>
    </row>
  </sheetData>
  <mergeCells count="3">
    <mergeCell ref="A1:B1"/>
    <mergeCell ref="A2:B2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50.7109375" customWidth="1"/>
    <col min="3" max="3" width="8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32" customHeight="1">
      <c r="A3" s="6" t="s">
        <v>47</v>
      </c>
      <c r="B3" s="6" t="s">
        <v>48</v>
      </c>
      <c r="C3" s="6" t="s">
        <v>49</v>
      </c>
    </row>
    <row r="4" spans="1:3" ht="22" customHeight="1">
      <c r="A4" s="7" t="s">
        <v>51</v>
      </c>
      <c r="B4" s="8" t="s">
        <v>50</v>
      </c>
      <c r="C4" s="4" t="s">
        <v>52</v>
      </c>
    </row>
    <row r="5" spans="1:3" ht="22" customHeight="1">
      <c r="A5" s="7" t="s">
        <v>54</v>
      </c>
      <c r="B5" s="8" t="s">
        <v>53</v>
      </c>
      <c r="C5" s="4" t="s">
        <v>55</v>
      </c>
    </row>
    <row r="6" spans="1:3" ht="22" customHeight="1">
      <c r="A6" s="7" t="s">
        <v>57</v>
      </c>
      <c r="B6" s="3" t="s">
        <v>56</v>
      </c>
      <c r="C6" s="4" t="s">
        <v>58</v>
      </c>
    </row>
    <row r="7" spans="1:3" ht="22" customHeight="1">
      <c r="A7" s="7" t="s">
        <v>60</v>
      </c>
      <c r="B7" s="3" t="s">
        <v>59</v>
      </c>
      <c r="C7" s="4" t="s">
        <v>61</v>
      </c>
    </row>
    <row r="8" spans="1:3" ht="22" customHeight="1">
      <c r="A8" s="7" t="s">
        <v>63</v>
      </c>
      <c r="B8" s="3" t="s">
        <v>62</v>
      </c>
      <c r="C8" s="4" t="s">
        <v>64</v>
      </c>
    </row>
    <row r="9" spans="1:3" ht="22" customHeight="1">
      <c r="A9" s="7" t="s">
        <v>66</v>
      </c>
      <c r="B9" s="3" t="s">
        <v>65</v>
      </c>
      <c r="C9" s="4" t="s">
        <v>67</v>
      </c>
    </row>
    <row r="10" spans="1:3" ht="22" customHeight="1">
      <c r="A10" s="7" t="s">
        <v>69</v>
      </c>
      <c r="B10" s="3" t="s">
        <v>68</v>
      </c>
      <c r="C10" s="4" t="s">
        <v>70</v>
      </c>
    </row>
    <row r="11" spans="1:3" ht="22" customHeight="1">
      <c r="A11" s="7" t="s">
        <v>72</v>
      </c>
      <c r="B11" s="3" t="s">
        <v>71</v>
      </c>
      <c r="C11" s="4" t="s">
        <v>73</v>
      </c>
    </row>
    <row r="12" spans="1:3" ht="22" customHeight="1">
      <c r="A12" s="7" t="s">
        <v>75</v>
      </c>
      <c r="B12" s="3" t="s">
        <v>74</v>
      </c>
      <c r="C12" s="4" t="s">
        <v>76</v>
      </c>
    </row>
    <row r="13" spans="1:3" ht="22" customHeight="1">
      <c r="A13" s="7" t="s">
        <v>78</v>
      </c>
      <c r="B13" s="3" t="s">
        <v>77</v>
      </c>
      <c r="C13" s="4" t="s">
        <v>79</v>
      </c>
    </row>
    <row r="14" spans="1:3" ht="22" customHeight="1">
      <c r="A14" s="7" t="s">
        <v>81</v>
      </c>
      <c r="B14" s="3" t="s">
        <v>80</v>
      </c>
      <c r="C14" s="4" t="s">
        <v>82</v>
      </c>
    </row>
    <row r="15" spans="1:3" ht="22" customHeight="1">
      <c r="A15" s="7" t="s">
        <v>84</v>
      </c>
      <c r="B15" s="3" t="s">
        <v>83</v>
      </c>
      <c r="C15" s="4" t="s">
        <v>85</v>
      </c>
    </row>
    <row r="16" spans="1:3" ht="22" customHeight="1">
      <c r="A16" s="7" t="s">
        <v>87</v>
      </c>
      <c r="B16" s="3" t="s">
        <v>86</v>
      </c>
      <c r="C16" s="4" t="s">
        <v>88</v>
      </c>
    </row>
    <row r="17" spans="1:3" ht="22" customHeight="1">
      <c r="A17" s="7" t="s">
        <v>90</v>
      </c>
      <c r="B17" s="3" t="s">
        <v>89</v>
      </c>
      <c r="C17" s="4" t="s">
        <v>91</v>
      </c>
    </row>
    <row r="18" spans="1:3" ht="22" customHeight="1">
      <c r="A18" s="7" t="s">
        <v>93</v>
      </c>
      <c r="B18" s="3" t="s">
        <v>92</v>
      </c>
      <c r="C18" s="4" t="s">
        <v>94</v>
      </c>
    </row>
    <row r="19" spans="1:3" ht="22" customHeight="1">
      <c r="A19" s="7" t="s">
        <v>96</v>
      </c>
      <c r="B19" s="3" t="s">
        <v>95</v>
      </c>
      <c r="C19" s="4" t="s">
        <v>97</v>
      </c>
    </row>
    <row r="20" spans="1:3" ht="22" customHeight="1">
      <c r="A20" s="7" t="s">
        <v>99</v>
      </c>
      <c r="B20" s="3" t="s">
        <v>98</v>
      </c>
      <c r="C20" s="4" t="s">
        <v>100</v>
      </c>
    </row>
    <row r="21" spans="1:3" ht="22" customHeight="1">
      <c r="A21" s="7" t="s">
        <v>102</v>
      </c>
      <c r="B21" s="3" t="s">
        <v>101</v>
      </c>
      <c r="C21" s="4" t="s">
        <v>103</v>
      </c>
    </row>
    <row r="22" spans="1:3" ht="22" customHeight="1">
      <c r="A22" s="7" t="s">
        <v>105</v>
      </c>
      <c r="B22" s="3" t="s">
        <v>104</v>
      </c>
      <c r="C22" s="4" t="s">
        <v>106</v>
      </c>
    </row>
    <row r="23" spans="1:3" ht="22" customHeight="1">
      <c r="A23" s="7" t="s">
        <v>108</v>
      </c>
      <c r="B23" s="3" t="s">
        <v>107</v>
      </c>
      <c r="C23" s="4" t="s">
        <v>109</v>
      </c>
    </row>
    <row r="24" spans="1:3" ht="22" customHeight="1">
      <c r="A24" s="7" t="s">
        <v>111</v>
      </c>
      <c r="B24" s="3" t="s">
        <v>110</v>
      </c>
      <c r="C24" s="4" t="s">
        <v>112</v>
      </c>
    </row>
    <row r="25" spans="1:3" ht="22" customHeight="1">
      <c r="A25" s="7" t="s">
        <v>114</v>
      </c>
      <c r="B25" s="3" t="s">
        <v>113</v>
      </c>
      <c r="C25" s="4" t="s">
        <v>115</v>
      </c>
    </row>
    <row r="26" spans="1:3" ht="22" customHeight="1">
      <c r="A26" s="7" t="s">
        <v>117</v>
      </c>
      <c r="B26" s="3" t="s">
        <v>116</v>
      </c>
      <c r="C26" s="4" t="s">
        <v>118</v>
      </c>
    </row>
    <row r="27" spans="1:3" ht="22" customHeight="1">
      <c r="A27" s="7" t="s">
        <v>120</v>
      </c>
      <c r="B27" s="3" t="s">
        <v>119</v>
      </c>
      <c r="C27" s="4" t="s">
        <v>121</v>
      </c>
    </row>
    <row r="28" spans="1:3" ht="22" customHeight="1">
      <c r="A28" s="7" t="s">
        <v>123</v>
      </c>
      <c r="B28" s="3" t="s">
        <v>122</v>
      </c>
      <c r="C28" s="4" t="s">
        <v>124</v>
      </c>
    </row>
    <row r="29" spans="1:3" ht="22" customHeight="1">
      <c r="A29" s="7" t="s">
        <v>126</v>
      </c>
      <c r="B29" s="3" t="s">
        <v>125</v>
      </c>
      <c r="C29" s="4" t="s">
        <v>127</v>
      </c>
    </row>
  </sheetData>
  <mergeCells count="2">
    <mergeCell ref="A1:C1"/>
    <mergeCell ref="A2:C2"/>
  </mergeCells>
  <hyperlinks>
    <hyperlink ref="B4" location="'00 Cover'!A1" display="Cover"/>
    <hyperlink ref="B5" location="'01 Contents'!A1" display="Content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0" customHeight="1">
      <c r="A4" s="9" t="s">
        <v>10</v>
      </c>
      <c r="B4" s="9"/>
    </row>
    <row r="5" spans="1:2" ht="40" customHeight="1">
      <c r="A5" s="4" t="s">
        <v>128</v>
      </c>
      <c r="B5" s="4"/>
    </row>
    <row r="7" spans="1:2" ht="20" customHeight="1">
      <c r="A7" s="9" t="s">
        <v>129</v>
      </c>
      <c r="B7" s="9"/>
    </row>
    <row r="8" spans="1:2" ht="220" customHeight="1">
      <c r="A8" s="4" t="s">
        <v>130</v>
      </c>
      <c r="B8" s="4"/>
    </row>
    <row r="10" spans="1:2" ht="20" customHeight="1">
      <c r="A10" s="9" t="s">
        <v>131</v>
      </c>
      <c r="B10" s="9"/>
    </row>
    <row r="11" spans="1:2" ht="216" customHeight="1">
      <c r="A11" s="4" t="s">
        <v>132</v>
      </c>
      <c r="B11" s="4"/>
    </row>
    <row r="13" spans="1:2" ht="20" customHeight="1">
      <c r="A13" s="9" t="s">
        <v>133</v>
      </c>
      <c r="B13" s="9"/>
    </row>
    <row r="14" spans="1:2" ht="96" customHeight="1">
      <c r="A14" s="4" t="s">
        <v>134</v>
      </c>
      <c r="B14" s="4"/>
    </row>
    <row r="16" spans="1:2" ht="20" customHeight="1">
      <c r="A16" s="9" t="s">
        <v>135</v>
      </c>
      <c r="B16" s="9"/>
    </row>
    <row r="17" spans="1:2" ht="40" customHeight="1">
      <c r="A17" s="4" t="s">
        <v>136</v>
      </c>
      <c r="B17" s="4"/>
    </row>
    <row r="19" spans="1:2" ht="20" customHeight="1">
      <c r="A19" s="9" t="s">
        <v>137</v>
      </c>
      <c r="B19" s="9"/>
    </row>
    <row r="20" spans="1:2" ht="40" customHeight="1">
      <c r="A20" s="4" t="s">
        <v>138</v>
      </c>
      <c r="B20" s="4"/>
    </row>
    <row r="22" spans="1:2" ht="20" customHeight="1">
      <c r="A22" s="9" t="s">
        <v>139</v>
      </c>
      <c r="B22" s="9"/>
    </row>
    <row r="23" spans="1:2" ht="40" customHeight="1">
      <c r="A23" s="4" t="s">
        <v>140</v>
      </c>
      <c r="B23" s="4"/>
    </row>
    <row r="25" spans="1:2" ht="20" customHeight="1">
      <c r="A25" s="9" t="s">
        <v>141</v>
      </c>
      <c r="B25" s="9"/>
    </row>
    <row r="26" spans="1:2" ht="120" customHeight="1">
      <c r="A26" s="4" t="s">
        <v>142</v>
      </c>
      <c r="B26" s="4"/>
    </row>
  </sheetData>
  <mergeCells count="18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0.7109375" customWidth="1"/>
    <col min="2" max="3" width="16.7109375" customWidth="1"/>
    <col min="4" max="4" width="50.7109375" customWidth="1"/>
    <col min="5" max="7" width="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143</v>
      </c>
      <c r="B3" s="5"/>
      <c r="C3" s="5"/>
      <c r="D3" s="5"/>
      <c r="E3" s="5"/>
      <c r="F3" s="5"/>
      <c r="G3" s="5"/>
    </row>
    <row r="4" spans="1:7" ht="32" customHeight="1">
      <c r="A4" s="6" t="s">
        <v>144</v>
      </c>
      <c r="B4" s="6" t="s">
        <v>145</v>
      </c>
      <c r="C4" s="6" t="s">
        <v>146</v>
      </c>
      <c r="D4" s="6" t="s">
        <v>147</v>
      </c>
      <c r="E4" s="6" t="s">
        <v>148</v>
      </c>
      <c r="F4" s="6" t="s">
        <v>149</v>
      </c>
      <c r="G4" s="6" t="s">
        <v>150</v>
      </c>
    </row>
    <row r="5" spans="1:7" ht="30" customHeight="1">
      <c r="A5" s="3" t="s">
        <v>151</v>
      </c>
      <c r="B5" s="4" t="s">
        <v>152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</row>
    <row r="6" spans="1:7" ht="30" customHeight="1">
      <c r="A6" s="3" t="s">
        <v>158</v>
      </c>
      <c r="B6" s="4" t="s">
        <v>159</v>
      </c>
      <c r="C6" s="4" t="s">
        <v>160</v>
      </c>
      <c r="D6" s="4" t="s">
        <v>161</v>
      </c>
      <c r="E6" s="4" t="s">
        <v>162</v>
      </c>
      <c r="F6" s="4" t="s">
        <v>163</v>
      </c>
      <c r="G6" s="4" t="s">
        <v>164</v>
      </c>
    </row>
    <row r="7" spans="1:7" ht="30" customHeight="1">
      <c r="A7" s="3" t="s">
        <v>165</v>
      </c>
      <c r="B7" s="4" t="s">
        <v>166</v>
      </c>
      <c r="C7" s="4" t="s">
        <v>167</v>
      </c>
      <c r="D7" s="4" t="s">
        <v>168</v>
      </c>
      <c r="E7" s="4" t="s">
        <v>169</v>
      </c>
      <c r="F7" s="4" t="s">
        <v>170</v>
      </c>
      <c r="G7" s="4" t="s">
        <v>171</v>
      </c>
    </row>
    <row r="8" spans="1:7" ht="30" customHeight="1">
      <c r="A8" s="3" t="s">
        <v>172</v>
      </c>
      <c r="B8" s="4" t="s">
        <v>173</v>
      </c>
      <c r="C8" s="4" t="s">
        <v>174</v>
      </c>
      <c r="D8" s="4" t="s">
        <v>175</v>
      </c>
      <c r="E8" s="4" t="s">
        <v>176</v>
      </c>
      <c r="F8" s="4" t="s">
        <v>177</v>
      </c>
      <c r="G8" s="4" t="s">
        <v>178</v>
      </c>
    </row>
    <row r="9" spans="1:7" ht="30" customHeight="1">
      <c r="A9" s="3" t="s">
        <v>179</v>
      </c>
      <c r="B9" s="4" t="s">
        <v>180</v>
      </c>
      <c r="C9" s="4" t="s">
        <v>181</v>
      </c>
      <c r="D9" s="4" t="s">
        <v>182</v>
      </c>
      <c r="E9" s="4" t="s">
        <v>183</v>
      </c>
      <c r="F9" s="4" t="s">
        <v>184</v>
      </c>
      <c r="G9" s="4" t="s">
        <v>185</v>
      </c>
    </row>
    <row r="11" spans="1:7" ht="22" customHeight="1">
      <c r="A11" s="5" t="s">
        <v>186</v>
      </c>
      <c r="B11" s="5"/>
      <c r="C11" s="5"/>
      <c r="D11" s="5"/>
      <c r="E11" s="5"/>
      <c r="F11" s="5"/>
      <c r="G11" s="5"/>
    </row>
    <row r="12" spans="1:7" ht="32" customHeight="1">
      <c r="A12" s="6" t="s">
        <v>187</v>
      </c>
      <c r="B12" s="6" t="s">
        <v>188</v>
      </c>
      <c r="C12" s="6" t="s">
        <v>189</v>
      </c>
      <c r="D12" s="6" t="s">
        <v>190</v>
      </c>
      <c r="E12" s="6" t="s">
        <v>191</v>
      </c>
      <c r="F12" s="6"/>
      <c r="G12" s="6"/>
    </row>
    <row r="13" spans="1:7" ht="24" customHeight="1">
      <c r="A13" s="4" t="s">
        <v>192</v>
      </c>
      <c r="B13" s="4" t="s">
        <v>193</v>
      </c>
      <c r="C13" s="4" t="s">
        <v>194</v>
      </c>
      <c r="D13" s="4" t="s">
        <v>195</v>
      </c>
      <c r="E13" s="4" t="s">
        <v>196</v>
      </c>
    </row>
    <row r="14" spans="1:7" ht="24" customHeight="1">
      <c r="A14" s="4" t="s">
        <v>165</v>
      </c>
      <c r="B14" s="4" t="s">
        <v>197</v>
      </c>
      <c r="C14" s="4" t="s">
        <v>198</v>
      </c>
      <c r="D14" s="4" t="s">
        <v>194</v>
      </c>
      <c r="E14" s="4" t="s">
        <v>199</v>
      </c>
    </row>
    <row r="15" spans="1:7" ht="24" customHeight="1">
      <c r="A15" s="4" t="s">
        <v>172</v>
      </c>
      <c r="B15" s="4" t="s">
        <v>193</v>
      </c>
      <c r="C15" s="4" t="s">
        <v>200</v>
      </c>
      <c r="D15" s="4" t="s">
        <v>198</v>
      </c>
      <c r="E15" s="4" t="s">
        <v>201</v>
      </c>
    </row>
    <row r="16" spans="1:7" ht="24" customHeight="1">
      <c r="A16" s="4" t="s">
        <v>179</v>
      </c>
      <c r="B16" s="4" t="s">
        <v>193</v>
      </c>
      <c r="C16" s="4" t="s">
        <v>202</v>
      </c>
      <c r="D16" s="4" t="s">
        <v>200</v>
      </c>
      <c r="E16" s="4" t="s">
        <v>203</v>
      </c>
    </row>
    <row r="17" spans="1:7" ht="24" customHeight="1">
      <c r="A17" s="4" t="s">
        <v>204</v>
      </c>
      <c r="B17" s="4" t="s">
        <v>205</v>
      </c>
      <c r="C17" s="4" t="s">
        <v>206</v>
      </c>
      <c r="D17" s="4" t="s">
        <v>206</v>
      </c>
      <c r="E17" s="4" t="s">
        <v>207</v>
      </c>
    </row>
    <row r="19" spans="1:7" ht="22" customHeight="1">
      <c r="A19" s="5" t="s">
        <v>208</v>
      </c>
      <c r="B19" s="5"/>
      <c r="C19" s="5"/>
      <c r="D19" s="5"/>
      <c r="E19" s="5"/>
      <c r="F19" s="5"/>
      <c r="G19" s="5"/>
    </row>
    <row r="20" spans="1:7" ht="32" customHeight="1">
      <c r="A20" s="6" t="s">
        <v>209</v>
      </c>
      <c r="B20" s="6" t="s">
        <v>210</v>
      </c>
      <c r="C20" s="6" t="s">
        <v>211</v>
      </c>
      <c r="D20" s="6" t="s">
        <v>212</v>
      </c>
      <c r="E20" s="6"/>
      <c r="F20" s="6"/>
      <c r="G20" s="6"/>
    </row>
    <row r="21" spans="1:7" ht="22" customHeight="1">
      <c r="A21" s="4" t="s">
        <v>213</v>
      </c>
      <c r="B21" s="4" t="s">
        <v>200</v>
      </c>
      <c r="C21" s="4" t="s">
        <v>198</v>
      </c>
      <c r="D21" s="4" t="s">
        <v>214</v>
      </c>
    </row>
    <row r="22" spans="1:7" ht="22" customHeight="1">
      <c r="A22" s="4" t="s">
        <v>215</v>
      </c>
      <c r="B22" s="4" t="s">
        <v>216</v>
      </c>
      <c r="C22" s="4" t="s">
        <v>217</v>
      </c>
      <c r="D22" s="4" t="s">
        <v>218</v>
      </c>
    </row>
    <row r="23" spans="1:7" ht="22" customHeight="1">
      <c r="A23" s="4" t="s">
        <v>219</v>
      </c>
      <c r="B23" s="4" t="s">
        <v>220</v>
      </c>
      <c r="C23" s="4" t="s">
        <v>221</v>
      </c>
      <c r="D23" s="4" t="s">
        <v>222</v>
      </c>
    </row>
    <row r="24" spans="1:7" ht="22" customHeight="1">
      <c r="A24" s="4" t="s">
        <v>223</v>
      </c>
      <c r="B24" s="4" t="s">
        <v>200</v>
      </c>
      <c r="C24" s="4" t="s">
        <v>198</v>
      </c>
      <c r="D24" s="4" t="s">
        <v>224</v>
      </c>
    </row>
    <row r="25" spans="1:7" ht="22" customHeight="1">
      <c r="A25" s="4" t="s">
        <v>225</v>
      </c>
      <c r="B25" s="4" t="s">
        <v>198</v>
      </c>
      <c r="C25" s="4" t="s">
        <v>194</v>
      </c>
      <c r="D25" s="4" t="s">
        <v>226</v>
      </c>
    </row>
    <row r="27" spans="1:7" ht="22" customHeight="1">
      <c r="A27" s="5" t="s">
        <v>227</v>
      </c>
      <c r="B27" s="5"/>
      <c r="C27" s="5"/>
      <c r="D27" s="5"/>
      <c r="E27" s="5"/>
      <c r="F27" s="5"/>
      <c r="G27" s="5"/>
    </row>
    <row r="28" spans="1:7" ht="32" customHeight="1">
      <c r="A28" s="6" t="s">
        <v>228</v>
      </c>
      <c r="B28" s="6" t="s">
        <v>229</v>
      </c>
      <c r="C28" s="6" t="s">
        <v>230</v>
      </c>
      <c r="D28" s="6" t="s">
        <v>231</v>
      </c>
      <c r="E28" s="6"/>
      <c r="F28" s="6"/>
      <c r="G28" s="6"/>
    </row>
    <row r="29" spans="1:7" ht="22" customHeight="1">
      <c r="A29" s="4" t="s">
        <v>232</v>
      </c>
      <c r="B29" s="4" t="s">
        <v>233</v>
      </c>
      <c r="C29" s="4" t="s">
        <v>234</v>
      </c>
      <c r="D29" s="4" t="s">
        <v>235</v>
      </c>
    </row>
    <row r="30" spans="1:7" ht="22" customHeight="1">
      <c r="A30" s="4" t="s">
        <v>236</v>
      </c>
      <c r="B30" s="4" t="s">
        <v>237</v>
      </c>
      <c r="C30" s="4" t="s">
        <v>238</v>
      </c>
      <c r="D30" s="4" t="s">
        <v>239</v>
      </c>
    </row>
    <row r="31" spans="1:7" ht="22" customHeight="1">
      <c r="A31" s="4" t="s">
        <v>240</v>
      </c>
      <c r="B31" s="4" t="s">
        <v>241</v>
      </c>
      <c r="C31" s="4" t="s">
        <v>242</v>
      </c>
      <c r="D31" s="4" t="s">
        <v>243</v>
      </c>
    </row>
    <row r="32" spans="1:7" ht="22" customHeight="1">
      <c r="A32" s="4" t="s">
        <v>244</v>
      </c>
      <c r="B32" s="4" t="s">
        <v>245</v>
      </c>
      <c r="C32" s="4" t="s">
        <v>246</v>
      </c>
      <c r="D32" s="4" t="s">
        <v>247</v>
      </c>
    </row>
    <row r="33" spans="1:4" ht="22" customHeight="1">
      <c r="A33" s="4" t="s">
        <v>248</v>
      </c>
      <c r="B33" s="4" t="s">
        <v>249</v>
      </c>
      <c r="C33" s="4" t="s">
        <v>250</v>
      </c>
      <c r="D33" s="4" t="s">
        <v>247</v>
      </c>
    </row>
    <row r="34" spans="1:4" ht="22" customHeight="1">
      <c r="A34" s="4" t="s">
        <v>251</v>
      </c>
      <c r="B34" s="4" t="s">
        <v>252</v>
      </c>
      <c r="C34" s="4" t="s">
        <v>253</v>
      </c>
      <c r="D34" s="4" t="s">
        <v>254</v>
      </c>
    </row>
    <row r="35" spans="1:4" ht="22" customHeight="1">
      <c r="A35" s="4" t="s">
        <v>255</v>
      </c>
      <c r="B35" s="4" t="s">
        <v>256</v>
      </c>
      <c r="C35" s="4" t="s">
        <v>256</v>
      </c>
      <c r="D35" s="4" t="s">
        <v>257</v>
      </c>
    </row>
    <row r="36" spans="1:4" ht="22" customHeight="1">
      <c r="A36" s="4" t="s">
        <v>258</v>
      </c>
      <c r="B36" s="4" t="s">
        <v>256</v>
      </c>
      <c r="C36" s="4" t="s">
        <v>256</v>
      </c>
      <c r="D36" s="4" t="s">
        <v>259</v>
      </c>
    </row>
  </sheetData>
  <mergeCells count="6">
    <mergeCell ref="A1:G1"/>
    <mergeCell ref="A2:G2"/>
    <mergeCell ref="A3:G3"/>
    <mergeCell ref="A11:G11"/>
    <mergeCell ref="A19:G19"/>
    <mergeCell ref="A27:G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3" width="9.7109375" customWidth="1"/>
    <col min="4" max="6" width="14.7109375" customWidth="1"/>
    <col min="7" max="7" width="10.7109375" customWidth="1"/>
    <col min="8" max="10" width="14.7109375" customWidth="1"/>
    <col min="11" max="11" width="36.7109375" customWidth="1"/>
  </cols>
  <sheetData>
    <row r="1" spans="1:1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" customHeight="1">
      <c r="A3" s="5" t="s">
        <v>260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32" customHeight="1">
      <c r="A4" s="6" t="s">
        <v>261</v>
      </c>
      <c r="B4" s="6" t="s">
        <v>262</v>
      </c>
      <c r="C4" s="6" t="s">
        <v>263</v>
      </c>
      <c r="D4" s="6" t="s">
        <v>264</v>
      </c>
      <c r="E4" s="6" t="s">
        <v>265</v>
      </c>
      <c r="F4" s="6" t="s">
        <v>266</v>
      </c>
      <c r="G4" s="6" t="s">
        <v>267</v>
      </c>
      <c r="H4" s="6" t="s">
        <v>268</v>
      </c>
      <c r="I4" s="6" t="s">
        <v>269</v>
      </c>
      <c r="J4" s="6" t="s">
        <v>270</v>
      </c>
      <c r="K4" s="6" t="s">
        <v>271</v>
      </c>
    </row>
    <row r="5" spans="1:11" ht="26" customHeight="1">
      <c r="A5" s="3" t="s">
        <v>272</v>
      </c>
      <c r="B5" s="4" t="s">
        <v>273</v>
      </c>
      <c r="C5" s="10">
        <v>26.1</v>
      </c>
      <c r="D5" s="11">
        <v>90.90000000000001</v>
      </c>
      <c r="E5" s="11">
        <v>36.6</v>
      </c>
      <c r="F5" s="11">
        <v>127.5</v>
      </c>
      <c r="G5" s="7" t="s">
        <v>274</v>
      </c>
      <c r="H5" s="12">
        <v>113.62</v>
      </c>
      <c r="I5" s="12">
        <v>45.75</v>
      </c>
      <c r="J5" s="12">
        <v>159.37</v>
      </c>
      <c r="K5" s="4" t="s">
        <v>275</v>
      </c>
    </row>
    <row r="6" spans="1:11" ht="26" customHeight="1">
      <c r="A6" s="3" t="s">
        <v>276</v>
      </c>
      <c r="B6" s="4" t="s">
        <v>277</v>
      </c>
      <c r="C6" s="10">
        <v>28.1</v>
      </c>
      <c r="D6" s="11">
        <v>90.7</v>
      </c>
      <c r="E6" s="11">
        <v>68.2</v>
      </c>
      <c r="F6" s="11">
        <v>158.9</v>
      </c>
      <c r="G6" s="7" t="s">
        <v>274</v>
      </c>
      <c r="H6" s="12">
        <v>113.38</v>
      </c>
      <c r="I6" s="12">
        <v>85.25</v>
      </c>
      <c r="J6" s="12">
        <v>198.63</v>
      </c>
      <c r="K6" s="4" t="s">
        <v>275</v>
      </c>
    </row>
    <row r="7" spans="1:11" ht="26" customHeight="1">
      <c r="A7" s="3" t="s">
        <v>278</v>
      </c>
      <c r="B7" s="4" t="s">
        <v>279</v>
      </c>
      <c r="C7" s="10">
        <v>37.7</v>
      </c>
      <c r="D7" s="11">
        <v>90.2</v>
      </c>
      <c r="E7" s="11">
        <v>71.09999999999999</v>
      </c>
      <c r="F7" s="11">
        <v>161.3</v>
      </c>
      <c r="G7" s="7" t="s">
        <v>274</v>
      </c>
      <c r="H7" s="12">
        <v>112.75</v>
      </c>
      <c r="I7" s="12">
        <v>88.88</v>
      </c>
      <c r="J7" s="12">
        <v>201.63</v>
      </c>
      <c r="K7" s="4" t="s">
        <v>275</v>
      </c>
    </row>
    <row r="8" spans="1:11" ht="26" customHeight="1">
      <c r="A8" s="3" t="s">
        <v>280</v>
      </c>
      <c r="B8" s="4" t="s">
        <v>281</v>
      </c>
      <c r="C8" s="10">
        <v>28.1</v>
      </c>
      <c r="D8" s="11">
        <v>92.8</v>
      </c>
      <c r="E8" s="11">
        <v>23.3</v>
      </c>
      <c r="F8" s="11">
        <v>116.1</v>
      </c>
      <c r="G8" s="7" t="s">
        <v>274</v>
      </c>
      <c r="H8" s="12">
        <v>116</v>
      </c>
      <c r="I8" s="12">
        <v>29.12</v>
      </c>
      <c r="J8" s="12">
        <v>145.12</v>
      </c>
      <c r="K8" s="4" t="s">
        <v>275</v>
      </c>
    </row>
    <row r="9" spans="1:11" ht="26" customHeight="1">
      <c r="A9" s="3" t="s">
        <v>282</v>
      </c>
      <c r="B9" s="4" t="s">
        <v>283</v>
      </c>
      <c r="C9" s="10">
        <v>22.6</v>
      </c>
      <c r="D9" s="11">
        <v>88.59999999999999</v>
      </c>
      <c r="E9" s="11">
        <v>20.8</v>
      </c>
      <c r="F9" s="11">
        <v>109.4</v>
      </c>
      <c r="G9" s="7" t="s">
        <v>274</v>
      </c>
      <c r="H9" s="12">
        <v>110.75</v>
      </c>
      <c r="I9" s="12">
        <v>26</v>
      </c>
      <c r="J9" s="12">
        <v>136.75</v>
      </c>
      <c r="K9" s="4" t="s">
        <v>275</v>
      </c>
    </row>
    <row r="10" spans="1:11" ht="26" customHeight="1">
      <c r="A10" s="3" t="s">
        <v>284</v>
      </c>
      <c r="B10" s="4" t="s">
        <v>285</v>
      </c>
      <c r="C10" s="10">
        <v>17.6</v>
      </c>
      <c r="D10" s="11">
        <v>91.90000000000001</v>
      </c>
      <c r="E10" s="11">
        <v>22.2</v>
      </c>
      <c r="F10" s="11">
        <v>114.1</v>
      </c>
      <c r="G10" s="7" t="s">
        <v>274</v>
      </c>
      <c r="H10" s="12">
        <v>114.88</v>
      </c>
      <c r="I10" s="12">
        <v>27.75</v>
      </c>
      <c r="J10" s="12">
        <v>142.63</v>
      </c>
      <c r="K10" s="4" t="s">
        <v>275</v>
      </c>
    </row>
    <row r="11" spans="1:11" ht="26" customHeight="1">
      <c r="A11" s="3" t="s">
        <v>286</v>
      </c>
      <c r="B11" s="4" t="s">
        <v>287</v>
      </c>
      <c r="C11" s="10">
        <v>19.6</v>
      </c>
      <c r="D11" s="11">
        <v>89.40000000000001</v>
      </c>
      <c r="E11" s="11">
        <v>10.9</v>
      </c>
      <c r="F11" s="11">
        <v>100.3</v>
      </c>
      <c r="G11" s="7" t="s">
        <v>274</v>
      </c>
      <c r="H11" s="12">
        <v>111.75</v>
      </c>
      <c r="I11" s="12">
        <v>13.62</v>
      </c>
      <c r="J11" s="12">
        <v>125.37</v>
      </c>
      <c r="K11" s="4" t="s">
        <v>275</v>
      </c>
    </row>
    <row r="12" spans="1:11" ht="26" customHeight="1">
      <c r="A12" s="3" t="s">
        <v>288</v>
      </c>
      <c r="B12" s="4" t="s">
        <v>289</v>
      </c>
      <c r="C12" s="10">
        <v>17.65</v>
      </c>
      <c r="D12" s="11">
        <v>95.8</v>
      </c>
      <c r="E12" s="11">
        <v>15.5</v>
      </c>
      <c r="F12" s="11">
        <v>111.3</v>
      </c>
      <c r="G12" s="7" t="s">
        <v>274</v>
      </c>
      <c r="H12" s="12">
        <v>119.75</v>
      </c>
      <c r="I12" s="12">
        <v>19.38</v>
      </c>
      <c r="J12" s="12">
        <v>139.13</v>
      </c>
      <c r="K12" s="4" t="s">
        <v>275</v>
      </c>
    </row>
    <row r="13" spans="1:11" ht="26" customHeight="1">
      <c r="A13" s="3" t="s">
        <v>290</v>
      </c>
      <c r="B13" s="4" t="s">
        <v>291</v>
      </c>
      <c r="C13" s="10">
        <v>23.55</v>
      </c>
      <c r="D13" s="11">
        <v>102.3</v>
      </c>
      <c r="E13" s="11">
        <v>13.5</v>
      </c>
      <c r="F13" s="11">
        <v>115.8</v>
      </c>
      <c r="G13" s="7" t="s">
        <v>274</v>
      </c>
      <c r="H13" s="12">
        <v>127.88</v>
      </c>
      <c r="I13" s="12">
        <v>16.88</v>
      </c>
      <c r="J13" s="12">
        <v>144.76</v>
      </c>
      <c r="K13" s="4" t="s">
        <v>275</v>
      </c>
    </row>
    <row r="14" spans="1:11" ht="26" customHeight="1">
      <c r="A14" s="3" t="s">
        <v>292</v>
      </c>
      <c r="B14" s="4" t="s">
        <v>293</v>
      </c>
      <c r="C14" s="10">
        <v>13.7</v>
      </c>
      <c r="D14" s="11">
        <v>95.7</v>
      </c>
      <c r="E14" s="11">
        <v>14.8</v>
      </c>
      <c r="F14" s="11">
        <v>110.5</v>
      </c>
      <c r="G14" s="7" t="s">
        <v>274</v>
      </c>
      <c r="H14" s="12">
        <v>119.62</v>
      </c>
      <c r="I14" s="12">
        <v>18.5</v>
      </c>
      <c r="J14" s="12">
        <v>138.12</v>
      </c>
      <c r="K14" s="4" t="s">
        <v>275</v>
      </c>
    </row>
    <row r="15" spans="1:11" ht="26" customHeight="1">
      <c r="A15" s="3" t="s">
        <v>294</v>
      </c>
      <c r="B15" s="4" t="s">
        <v>295</v>
      </c>
      <c r="C15" s="10">
        <v>10.75</v>
      </c>
      <c r="D15" s="11">
        <v>103.4</v>
      </c>
      <c r="E15" s="11">
        <v>14.4</v>
      </c>
      <c r="F15" s="11">
        <v>117.8</v>
      </c>
      <c r="G15" s="7" t="s">
        <v>274</v>
      </c>
      <c r="H15" s="12">
        <v>129.25</v>
      </c>
      <c r="I15" s="12">
        <v>18</v>
      </c>
      <c r="J15" s="12">
        <v>147.25</v>
      </c>
      <c r="K15" s="4" t="s">
        <v>275</v>
      </c>
    </row>
    <row r="16" spans="1:11" ht="26" customHeight="1">
      <c r="A16" s="3" t="s">
        <v>296</v>
      </c>
      <c r="B16" s="4" t="s">
        <v>297</v>
      </c>
      <c r="C16" s="10">
        <v>10.35</v>
      </c>
      <c r="D16" s="11">
        <v>106.2</v>
      </c>
      <c r="E16" s="11">
        <v>17.6</v>
      </c>
      <c r="F16" s="11">
        <v>123.8</v>
      </c>
      <c r="G16" s="7" t="s">
        <v>274</v>
      </c>
      <c r="H16" s="12">
        <v>132.75</v>
      </c>
      <c r="I16" s="12">
        <v>22</v>
      </c>
      <c r="J16" s="12">
        <v>154.75</v>
      </c>
      <c r="K16" s="4" t="s">
        <v>275</v>
      </c>
    </row>
    <row r="17" spans="1:11" ht="26" customHeight="1">
      <c r="A17" s="3" t="s">
        <v>298</v>
      </c>
      <c r="B17" s="4" t="s">
        <v>299</v>
      </c>
      <c r="C17" s="10">
        <v>6</v>
      </c>
      <c r="D17" s="11">
        <v>78.40000000000001</v>
      </c>
      <c r="E17" s="11">
        <v>25.6</v>
      </c>
      <c r="F17" s="11">
        <v>104</v>
      </c>
      <c r="G17" s="7" t="s">
        <v>300</v>
      </c>
      <c r="H17" s="12">
        <v>98</v>
      </c>
      <c r="I17" s="12">
        <v>32</v>
      </c>
      <c r="J17" s="12">
        <v>130</v>
      </c>
      <c r="K17" s="4" t="s">
        <v>301</v>
      </c>
    </row>
    <row r="18" spans="1:11" ht="26" customHeight="1">
      <c r="A18" s="3" t="s">
        <v>302</v>
      </c>
      <c r="B18" s="4" t="s">
        <v>303</v>
      </c>
      <c r="C18" s="10">
        <v>18</v>
      </c>
      <c r="D18" s="11">
        <v>108</v>
      </c>
      <c r="E18" s="11">
        <v>52</v>
      </c>
      <c r="F18" s="11">
        <v>160</v>
      </c>
      <c r="G18" s="7" t="s">
        <v>304</v>
      </c>
      <c r="H18" s="12">
        <v>135</v>
      </c>
      <c r="I18" s="12">
        <v>65</v>
      </c>
      <c r="J18" s="12">
        <v>200</v>
      </c>
      <c r="K18" s="4" t="s">
        <v>305</v>
      </c>
    </row>
    <row r="19" spans="1:11" ht="26" customHeight="1">
      <c r="A19" s="3" t="s">
        <v>306</v>
      </c>
      <c r="B19" s="4" t="s">
        <v>307</v>
      </c>
      <c r="C19" s="10">
        <v>16</v>
      </c>
      <c r="D19" s="11">
        <v>104</v>
      </c>
      <c r="E19" s="11">
        <v>40</v>
      </c>
      <c r="F19" s="11">
        <v>144</v>
      </c>
      <c r="G19" s="7" t="s">
        <v>304</v>
      </c>
      <c r="H19" s="12">
        <v>130</v>
      </c>
      <c r="I19" s="12">
        <v>50</v>
      </c>
      <c r="J19" s="12">
        <v>180</v>
      </c>
      <c r="K19" s="4" t="s">
        <v>308</v>
      </c>
    </row>
    <row r="20" spans="1:11" ht="26" customHeight="1">
      <c r="A20" s="3" t="s">
        <v>309</v>
      </c>
      <c r="B20" s="4" t="s">
        <v>310</v>
      </c>
      <c r="C20" s="10">
        <v>10</v>
      </c>
      <c r="D20" s="11">
        <v>112</v>
      </c>
      <c r="E20" s="11">
        <v>64</v>
      </c>
      <c r="F20" s="11">
        <v>176</v>
      </c>
      <c r="G20" s="7" t="s">
        <v>304</v>
      </c>
      <c r="H20" s="12">
        <v>140</v>
      </c>
      <c r="I20" s="12">
        <v>80</v>
      </c>
      <c r="J20" s="12">
        <v>220</v>
      </c>
      <c r="K20" s="4" t="s">
        <v>311</v>
      </c>
    </row>
    <row r="21" spans="1:11" ht="26" customHeight="1">
      <c r="A21" s="3" t="s">
        <v>312</v>
      </c>
      <c r="B21" s="4" t="s">
        <v>313</v>
      </c>
      <c r="C21" s="10">
        <v>8</v>
      </c>
      <c r="D21" s="11">
        <v>96</v>
      </c>
      <c r="E21" s="11">
        <v>40</v>
      </c>
      <c r="F21" s="11">
        <v>136</v>
      </c>
      <c r="G21" s="7" t="s">
        <v>304</v>
      </c>
      <c r="H21" s="12">
        <v>120</v>
      </c>
      <c r="I21" s="12">
        <v>50</v>
      </c>
      <c r="J21" s="12">
        <v>170</v>
      </c>
      <c r="K21" s="4" t="s">
        <v>314</v>
      </c>
    </row>
    <row r="22" spans="1:11" ht="26" customHeight="1">
      <c r="A22" s="3" t="s">
        <v>315</v>
      </c>
      <c r="B22" s="4" t="s">
        <v>316</v>
      </c>
      <c r="C22" s="10">
        <v>6</v>
      </c>
      <c r="D22" s="11">
        <v>94.40000000000001</v>
      </c>
      <c r="E22" s="11">
        <v>33.6</v>
      </c>
      <c r="F22" s="11">
        <v>128</v>
      </c>
      <c r="G22" s="7" t="s">
        <v>304</v>
      </c>
      <c r="H22" s="12">
        <v>118</v>
      </c>
      <c r="I22" s="12">
        <v>42</v>
      </c>
      <c r="J22" s="12">
        <v>160</v>
      </c>
      <c r="K22" s="4" t="s">
        <v>317</v>
      </c>
    </row>
    <row r="23" spans="1:11" ht="26" customHeight="1">
      <c r="A23" s="3" t="s">
        <v>318</v>
      </c>
      <c r="B23" s="4" t="s">
        <v>319</v>
      </c>
      <c r="C23" s="10">
        <v>8</v>
      </c>
      <c r="D23" s="11">
        <v>128</v>
      </c>
      <c r="E23" s="11">
        <v>112</v>
      </c>
      <c r="F23" s="11">
        <v>240</v>
      </c>
      <c r="G23" s="7" t="s">
        <v>304</v>
      </c>
      <c r="H23" s="12">
        <v>160</v>
      </c>
      <c r="I23" s="12">
        <v>140</v>
      </c>
      <c r="J23" s="12">
        <v>300</v>
      </c>
      <c r="K23" s="4" t="s">
        <v>320</v>
      </c>
    </row>
    <row r="24" spans="1:11" ht="26" customHeight="1">
      <c r="A24" s="3" t="s">
        <v>321</v>
      </c>
      <c r="B24" s="4" t="s">
        <v>322</v>
      </c>
      <c r="C24" s="10">
        <v>20</v>
      </c>
      <c r="D24" s="11">
        <v>100</v>
      </c>
      <c r="E24" s="11">
        <v>20</v>
      </c>
      <c r="F24" s="11">
        <v>120</v>
      </c>
      <c r="G24" s="7" t="s">
        <v>304</v>
      </c>
      <c r="H24" s="12">
        <v>125</v>
      </c>
      <c r="I24" s="12">
        <v>25</v>
      </c>
      <c r="J24" s="12">
        <v>150</v>
      </c>
      <c r="K24" s="4" t="s">
        <v>323</v>
      </c>
    </row>
    <row r="25" spans="1:11" ht="26" customHeight="1">
      <c r="A25" s="3" t="s">
        <v>324</v>
      </c>
      <c r="B25" s="4" t="s">
        <v>325</v>
      </c>
      <c r="C25" s="10">
        <v>15</v>
      </c>
      <c r="D25" s="11">
        <v>91.90000000000001</v>
      </c>
      <c r="E25" s="11">
        <v>36.6</v>
      </c>
      <c r="F25" s="11">
        <v>128.5</v>
      </c>
      <c r="G25" s="7" t="s">
        <v>304</v>
      </c>
      <c r="H25" s="12">
        <v>114.88</v>
      </c>
      <c r="I25" s="12">
        <v>45.75</v>
      </c>
      <c r="J25" s="12">
        <v>160.63</v>
      </c>
      <c r="K25" s="4" t="s">
        <v>326</v>
      </c>
    </row>
    <row r="27" spans="1:11">
      <c r="A27" s="13" t="s">
        <v>327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</sheetData>
  <mergeCells count="4">
    <mergeCell ref="A1:K1"/>
    <mergeCell ref="A2:K2"/>
    <mergeCell ref="A3:K3"/>
    <mergeCell ref="A27:K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8.7109375" customWidth="1"/>
    <col min="3" max="3" width="18.7109375" customWidth="1"/>
    <col min="4" max="5" width="17.7109375" customWidth="1"/>
    <col min="6" max="6" width="14.7109375" customWidth="1"/>
    <col min="7" max="7" width="50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328</v>
      </c>
      <c r="B3" s="5"/>
      <c r="C3" s="5"/>
      <c r="D3" s="5"/>
      <c r="E3" s="5"/>
      <c r="F3" s="5"/>
      <c r="G3" s="5"/>
    </row>
    <row r="4" spans="1:7" ht="32" customHeight="1">
      <c r="A4" s="6" t="s">
        <v>329</v>
      </c>
      <c r="B4" s="6" t="s">
        <v>330</v>
      </c>
      <c r="C4" s="6" t="s">
        <v>331</v>
      </c>
      <c r="D4" s="6" t="s">
        <v>332</v>
      </c>
      <c r="E4" s="6" t="s">
        <v>333</v>
      </c>
      <c r="F4" s="6" t="s">
        <v>334</v>
      </c>
      <c r="G4" s="6" t="s">
        <v>335</v>
      </c>
    </row>
    <row r="5" spans="1:7" ht="22" customHeight="1">
      <c r="A5" s="3" t="s">
        <v>336</v>
      </c>
      <c r="B5" s="4" t="s">
        <v>337</v>
      </c>
      <c r="C5" s="7" t="s">
        <v>338</v>
      </c>
      <c r="D5" s="11">
        <v>154</v>
      </c>
      <c r="E5" s="11">
        <v>172</v>
      </c>
      <c r="F5" s="7" t="s">
        <v>339</v>
      </c>
      <c r="G5" s="4" t="s">
        <v>340</v>
      </c>
    </row>
    <row r="6" spans="1:7" ht="22" customHeight="1">
      <c r="A6" s="3" t="s">
        <v>341</v>
      </c>
      <c r="B6" s="4" t="s">
        <v>342</v>
      </c>
      <c r="C6" s="7" t="s">
        <v>338</v>
      </c>
      <c r="D6" s="11">
        <v>136</v>
      </c>
      <c r="E6" s="11">
        <v>155</v>
      </c>
      <c r="F6" s="7" t="s">
        <v>339</v>
      </c>
      <c r="G6" s="4"/>
    </row>
    <row r="7" spans="1:7" ht="22" customHeight="1">
      <c r="A7" s="3" t="s">
        <v>343</v>
      </c>
      <c r="B7" s="4" t="s">
        <v>344</v>
      </c>
      <c r="C7" s="7" t="s">
        <v>338</v>
      </c>
      <c r="D7" s="11">
        <v>125</v>
      </c>
      <c r="E7" s="11">
        <v>140</v>
      </c>
      <c r="F7" s="7" t="s">
        <v>339</v>
      </c>
      <c r="G7" s="4"/>
    </row>
    <row r="8" spans="1:7" ht="22" customHeight="1">
      <c r="A8" s="3" t="s">
        <v>282</v>
      </c>
      <c r="B8" s="4" t="s">
        <v>345</v>
      </c>
      <c r="C8" s="7" t="s">
        <v>346</v>
      </c>
      <c r="D8" s="11">
        <v>116</v>
      </c>
      <c r="E8" s="11">
        <v>132</v>
      </c>
      <c r="F8" s="7" t="s">
        <v>339</v>
      </c>
      <c r="G8" s="4"/>
    </row>
    <row r="9" spans="1:7" ht="22" customHeight="1">
      <c r="A9" s="3" t="s">
        <v>347</v>
      </c>
      <c r="B9" s="4" t="s">
        <v>348</v>
      </c>
      <c r="C9" s="7" t="s">
        <v>346</v>
      </c>
      <c r="D9" s="11">
        <v>110</v>
      </c>
      <c r="E9" s="11">
        <v>128</v>
      </c>
      <c r="F9" s="7" t="s">
        <v>339</v>
      </c>
      <c r="G9" s="4" t="s">
        <v>349</v>
      </c>
    </row>
    <row r="10" spans="1:7" ht="22" customHeight="1">
      <c r="A10" s="3" t="s">
        <v>350</v>
      </c>
      <c r="B10" s="4" t="s">
        <v>351</v>
      </c>
      <c r="C10" s="7" t="s">
        <v>346</v>
      </c>
      <c r="D10" s="11">
        <v>101</v>
      </c>
      <c r="E10" s="11">
        <v>116</v>
      </c>
      <c r="F10" s="7" t="s">
        <v>339</v>
      </c>
      <c r="G10" s="4" t="s">
        <v>352</v>
      </c>
    </row>
    <row r="11" spans="1:7" ht="22" customHeight="1">
      <c r="A11" s="3" t="s">
        <v>353</v>
      </c>
      <c r="B11" s="4" t="s">
        <v>354</v>
      </c>
      <c r="C11" s="7" t="s">
        <v>346</v>
      </c>
      <c r="D11" s="11">
        <v>93</v>
      </c>
      <c r="E11" s="11">
        <v>106</v>
      </c>
      <c r="F11" s="7" t="s">
        <v>339</v>
      </c>
      <c r="G11" s="4"/>
    </row>
    <row r="12" spans="1:7" ht="22" customHeight="1">
      <c r="A12" s="3" t="s">
        <v>355</v>
      </c>
      <c r="B12" s="4" t="s">
        <v>356</v>
      </c>
      <c r="C12" s="7" t="s">
        <v>346</v>
      </c>
      <c r="D12" s="11">
        <v>82</v>
      </c>
      <c r="E12" s="11">
        <v>95</v>
      </c>
      <c r="F12" s="7" t="s">
        <v>339</v>
      </c>
      <c r="G12" s="4" t="s">
        <v>357</v>
      </c>
    </row>
    <row r="13" spans="1:7" ht="22" customHeight="1">
      <c r="A13" s="3" t="s">
        <v>358</v>
      </c>
      <c r="B13" s="4" t="s">
        <v>359</v>
      </c>
      <c r="C13" s="7" t="s">
        <v>346</v>
      </c>
      <c r="D13" s="11">
        <v>73</v>
      </c>
      <c r="E13" s="11">
        <v>84</v>
      </c>
      <c r="F13" s="7" t="s">
        <v>339</v>
      </c>
      <c r="G13" s="4"/>
    </row>
    <row r="14" spans="1:7" ht="22" customHeight="1">
      <c r="A14" s="3" t="s">
        <v>360</v>
      </c>
      <c r="B14" s="4" t="s">
        <v>361</v>
      </c>
      <c r="C14" s="7" t="s">
        <v>346</v>
      </c>
      <c r="D14" s="11">
        <v>64</v>
      </c>
      <c r="E14" s="11">
        <v>74</v>
      </c>
      <c r="F14" s="7" t="s">
        <v>339</v>
      </c>
      <c r="G14" s="4"/>
    </row>
    <row r="15" spans="1:7" ht="22" customHeight="1">
      <c r="A15" s="3" t="s">
        <v>284</v>
      </c>
      <c r="B15" s="4" t="s">
        <v>362</v>
      </c>
      <c r="C15" s="7" t="s">
        <v>363</v>
      </c>
      <c r="D15" s="11">
        <v>93</v>
      </c>
      <c r="E15" s="11">
        <v>108</v>
      </c>
      <c r="F15" s="7" t="s">
        <v>339</v>
      </c>
      <c r="G15" s="4" t="s">
        <v>364</v>
      </c>
    </row>
    <row r="16" spans="1:7" ht="22" customHeight="1">
      <c r="A16" s="3" t="s">
        <v>365</v>
      </c>
      <c r="B16" s="4" t="s">
        <v>366</v>
      </c>
      <c r="C16" s="7" t="s">
        <v>363</v>
      </c>
      <c r="D16" s="11">
        <v>93</v>
      </c>
      <c r="E16" s="11">
        <v>108</v>
      </c>
      <c r="F16" s="7" t="s">
        <v>339</v>
      </c>
      <c r="G16" s="4" t="s">
        <v>367</v>
      </c>
    </row>
    <row r="17" spans="1:7" ht="22" customHeight="1">
      <c r="A17" s="3" t="s">
        <v>368</v>
      </c>
      <c r="B17" s="4" t="s">
        <v>369</v>
      </c>
      <c r="C17" s="7" t="s">
        <v>370</v>
      </c>
      <c r="D17" s="11">
        <v>84</v>
      </c>
      <c r="E17" s="11">
        <v>98</v>
      </c>
      <c r="F17" s="7" t="s">
        <v>339</v>
      </c>
      <c r="G17" s="4" t="s">
        <v>371</v>
      </c>
    </row>
    <row r="18" spans="1:7" ht="22" customHeight="1">
      <c r="A18" s="3" t="s">
        <v>372</v>
      </c>
      <c r="B18" s="4" t="s">
        <v>373</v>
      </c>
      <c r="C18" s="7" t="s">
        <v>370</v>
      </c>
      <c r="D18" s="11">
        <v>92</v>
      </c>
      <c r="E18" s="11">
        <v>106</v>
      </c>
      <c r="F18" s="7" t="s">
        <v>339</v>
      </c>
      <c r="G18" s="4"/>
    </row>
    <row r="19" spans="1:7" ht="22" customHeight="1">
      <c r="A19" s="3" t="s">
        <v>374</v>
      </c>
      <c r="B19" s="4" t="s">
        <v>375</v>
      </c>
      <c r="C19" s="7" t="s">
        <v>376</v>
      </c>
      <c r="D19" s="11">
        <v>109</v>
      </c>
      <c r="E19" s="11">
        <v>125</v>
      </c>
      <c r="F19" s="7" t="s">
        <v>339</v>
      </c>
      <c r="G19" s="4"/>
    </row>
    <row r="20" spans="1:7" ht="22" customHeight="1">
      <c r="A20" s="3" t="s">
        <v>377</v>
      </c>
      <c r="B20" s="4" t="s">
        <v>378</v>
      </c>
      <c r="C20" s="7" t="s">
        <v>376</v>
      </c>
      <c r="D20" s="11">
        <v>125</v>
      </c>
      <c r="E20" s="11">
        <v>140</v>
      </c>
      <c r="F20" s="7" t="s">
        <v>339</v>
      </c>
      <c r="G20" s="4"/>
    </row>
    <row r="21" spans="1:7" ht="22" customHeight="1">
      <c r="A21" s="3" t="s">
        <v>379</v>
      </c>
      <c r="B21" s="4" t="s">
        <v>380</v>
      </c>
      <c r="C21" s="7" t="s">
        <v>376</v>
      </c>
      <c r="D21" s="11">
        <v>95</v>
      </c>
      <c r="E21" s="11">
        <v>108</v>
      </c>
      <c r="F21" s="7" t="s">
        <v>339</v>
      </c>
      <c r="G21" s="4"/>
    </row>
    <row r="22" spans="1:7" ht="22" customHeight="1">
      <c r="A22" s="3" t="s">
        <v>381</v>
      </c>
      <c r="B22" s="4" t="s">
        <v>382</v>
      </c>
      <c r="C22" s="7" t="s">
        <v>376</v>
      </c>
      <c r="D22" s="11">
        <v>115</v>
      </c>
      <c r="E22" s="11">
        <v>132</v>
      </c>
      <c r="F22" s="7" t="s">
        <v>339</v>
      </c>
      <c r="G22" s="4"/>
    </row>
    <row r="23" spans="1:7" ht="22" customHeight="1">
      <c r="A23" s="3" t="s">
        <v>383</v>
      </c>
      <c r="B23" s="4" t="s">
        <v>384</v>
      </c>
      <c r="C23" s="7" t="s">
        <v>376</v>
      </c>
      <c r="D23" s="11">
        <v>113</v>
      </c>
      <c r="E23" s="11">
        <v>130</v>
      </c>
      <c r="F23" s="7" t="s">
        <v>339</v>
      </c>
      <c r="G23" s="4"/>
    </row>
    <row r="24" spans="1:7" ht="22" customHeight="1">
      <c r="A24" s="3" t="s">
        <v>385</v>
      </c>
      <c r="B24" s="4" t="s">
        <v>386</v>
      </c>
      <c r="C24" s="7" t="s">
        <v>376</v>
      </c>
      <c r="D24" s="11">
        <v>94</v>
      </c>
      <c r="E24" s="11">
        <v>108</v>
      </c>
      <c r="F24" s="7" t="s">
        <v>339</v>
      </c>
      <c r="G24" s="4"/>
    </row>
    <row r="25" spans="1:7" ht="22" customHeight="1">
      <c r="A25" s="3" t="s">
        <v>286</v>
      </c>
      <c r="B25" s="4" t="s">
        <v>387</v>
      </c>
      <c r="C25" s="7" t="s">
        <v>295</v>
      </c>
      <c r="D25" s="11">
        <v>127</v>
      </c>
      <c r="E25" s="11">
        <v>145</v>
      </c>
      <c r="F25" s="7" t="s">
        <v>339</v>
      </c>
      <c r="G25" s="4" t="s">
        <v>388</v>
      </c>
    </row>
    <row r="26" spans="1:7" ht="22" customHeight="1">
      <c r="A26" s="3" t="s">
        <v>389</v>
      </c>
      <c r="B26" s="4" t="s">
        <v>390</v>
      </c>
      <c r="C26" s="7" t="s">
        <v>297</v>
      </c>
      <c r="D26" s="11">
        <v>127</v>
      </c>
      <c r="E26" s="11">
        <v>145</v>
      </c>
      <c r="F26" s="7" t="s">
        <v>339</v>
      </c>
      <c r="G26" s="4"/>
    </row>
    <row r="27" spans="1:7" ht="22" customHeight="1">
      <c r="A27" s="3" t="s">
        <v>391</v>
      </c>
      <c r="B27" s="4" t="s">
        <v>392</v>
      </c>
      <c r="C27" s="7" t="s">
        <v>393</v>
      </c>
      <c r="D27" s="11">
        <v>109</v>
      </c>
      <c r="E27" s="11">
        <v>125</v>
      </c>
      <c r="F27" s="7" t="s">
        <v>339</v>
      </c>
      <c r="G27" s="4"/>
    </row>
    <row r="28" spans="1:7" ht="22" customHeight="1">
      <c r="A28" s="3" t="s">
        <v>394</v>
      </c>
      <c r="B28" s="4" t="s">
        <v>395</v>
      </c>
      <c r="C28" s="7" t="s">
        <v>393</v>
      </c>
      <c r="D28" s="11">
        <v>123</v>
      </c>
      <c r="E28" s="11">
        <v>140</v>
      </c>
      <c r="F28" s="7" t="s">
        <v>339</v>
      </c>
      <c r="G28" s="4"/>
    </row>
    <row r="29" spans="1:7" ht="22" customHeight="1">
      <c r="A29" s="3" t="s">
        <v>396</v>
      </c>
      <c r="B29" s="4" t="s">
        <v>397</v>
      </c>
      <c r="C29" s="7" t="s">
        <v>398</v>
      </c>
      <c r="D29" s="11">
        <v>110</v>
      </c>
      <c r="E29" s="11">
        <v>125</v>
      </c>
      <c r="F29" s="7" t="s">
        <v>339</v>
      </c>
      <c r="G29" s="4" t="s">
        <v>399</v>
      </c>
    </row>
    <row r="30" spans="1:7" ht="22" customHeight="1">
      <c r="A30" s="3" t="s">
        <v>400</v>
      </c>
      <c r="B30" s="4" t="s">
        <v>401</v>
      </c>
      <c r="C30" s="7" t="s">
        <v>402</v>
      </c>
      <c r="D30" s="11">
        <v>220</v>
      </c>
      <c r="E30" s="11">
        <v>300</v>
      </c>
      <c r="F30" s="7" t="s">
        <v>403</v>
      </c>
      <c r="G30" s="4" t="s">
        <v>404</v>
      </c>
    </row>
    <row r="31" spans="1:7" ht="22" customHeight="1">
      <c r="A31" s="3" t="s">
        <v>405</v>
      </c>
      <c r="B31" s="4" t="s">
        <v>406</v>
      </c>
      <c r="C31" s="7" t="s">
        <v>402</v>
      </c>
      <c r="D31" s="11">
        <v>180</v>
      </c>
      <c r="E31" s="11">
        <v>250</v>
      </c>
      <c r="F31" s="7" t="s">
        <v>407</v>
      </c>
      <c r="G31" s="4" t="s">
        <v>408</v>
      </c>
    </row>
    <row r="33" spans="1:7">
      <c r="A33" s="13" t="s">
        <v>409</v>
      </c>
      <c r="B33" s="13"/>
      <c r="C33" s="13"/>
      <c r="D33" s="13"/>
      <c r="E33" s="13"/>
      <c r="F33" s="13"/>
      <c r="G33" s="13"/>
    </row>
  </sheetData>
  <mergeCells count="4">
    <mergeCell ref="A1:G1"/>
    <mergeCell ref="A2:G2"/>
    <mergeCell ref="A3:G3"/>
    <mergeCell ref="A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2.7109375" customWidth="1"/>
    <col min="4" max="5" width="16.7109375" customWidth="1"/>
    <col min="6" max="6" width="12.7109375" customWidth="1"/>
    <col min="7" max="7" width="14.7109375" customWidth="1"/>
    <col min="8" max="8" width="13.7109375" customWidth="1"/>
    <col min="9" max="9" width="36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5" t="s">
        <v>410</v>
      </c>
      <c r="B3" s="5"/>
      <c r="C3" s="5"/>
      <c r="D3" s="5"/>
      <c r="E3" s="5"/>
      <c r="F3" s="5"/>
      <c r="G3" s="5"/>
      <c r="H3" s="5"/>
      <c r="I3" s="5"/>
    </row>
    <row r="4" spans="1:9" ht="32" customHeight="1">
      <c r="A4" s="6" t="s">
        <v>411</v>
      </c>
      <c r="B4" s="6" t="s">
        <v>412</v>
      </c>
      <c r="C4" s="6" t="s">
        <v>413</v>
      </c>
      <c r="D4" s="6" t="s">
        <v>414</v>
      </c>
      <c r="E4" s="6" t="s">
        <v>415</v>
      </c>
      <c r="F4" s="6" t="s">
        <v>416</v>
      </c>
      <c r="G4" s="6" t="s">
        <v>417</v>
      </c>
      <c r="H4" s="6" t="s">
        <v>418</v>
      </c>
      <c r="I4" s="6" t="s">
        <v>335</v>
      </c>
    </row>
    <row r="5" spans="1:9" ht="22" customHeight="1">
      <c r="A5" s="3" t="s">
        <v>419</v>
      </c>
      <c r="B5" s="4" t="s">
        <v>420</v>
      </c>
      <c r="C5" s="4" t="s">
        <v>421</v>
      </c>
      <c r="D5" s="11">
        <v>140</v>
      </c>
      <c r="E5" s="11">
        <v>165</v>
      </c>
      <c r="F5" s="7" t="s">
        <v>422</v>
      </c>
      <c r="G5" s="7" t="s">
        <v>423</v>
      </c>
      <c r="H5" s="7" t="s">
        <v>424</v>
      </c>
      <c r="I5" s="4" t="s">
        <v>425</v>
      </c>
    </row>
    <row r="6" spans="1:9" ht="22" customHeight="1">
      <c r="A6" s="3" t="s">
        <v>419</v>
      </c>
      <c r="B6" s="4" t="s">
        <v>426</v>
      </c>
      <c r="C6" s="4" t="s">
        <v>427</v>
      </c>
      <c r="D6" s="11">
        <v>155</v>
      </c>
      <c r="E6" s="11">
        <v>180</v>
      </c>
      <c r="F6" s="7" t="s">
        <v>428</v>
      </c>
      <c r="G6" s="7" t="s">
        <v>423</v>
      </c>
      <c r="H6" s="7" t="s">
        <v>424</v>
      </c>
      <c r="I6" s="4"/>
    </row>
    <row r="7" spans="1:9" ht="22" customHeight="1">
      <c r="A7" s="3" t="s">
        <v>419</v>
      </c>
      <c r="B7" s="4" t="s">
        <v>429</v>
      </c>
      <c r="C7" s="4" t="s">
        <v>430</v>
      </c>
      <c r="D7" s="11">
        <v>185</v>
      </c>
      <c r="E7" s="11">
        <v>215</v>
      </c>
      <c r="F7" s="7" t="s">
        <v>431</v>
      </c>
      <c r="G7" s="7" t="s">
        <v>423</v>
      </c>
      <c r="H7" s="7" t="s">
        <v>432</v>
      </c>
      <c r="I7" s="4" t="s">
        <v>433</v>
      </c>
    </row>
    <row r="8" spans="1:9" ht="22" customHeight="1">
      <c r="A8" s="3" t="s">
        <v>419</v>
      </c>
      <c r="B8" s="4" t="s">
        <v>434</v>
      </c>
      <c r="C8" s="4" t="s">
        <v>435</v>
      </c>
      <c r="D8" s="11">
        <v>320</v>
      </c>
      <c r="E8" s="11">
        <v>500</v>
      </c>
      <c r="F8" s="7" t="s">
        <v>436</v>
      </c>
      <c r="G8" s="7" t="s">
        <v>403</v>
      </c>
      <c r="H8" s="7" t="s">
        <v>424</v>
      </c>
      <c r="I8" s="4" t="s">
        <v>437</v>
      </c>
    </row>
    <row r="9" spans="1:9" ht="22" customHeight="1">
      <c r="A9" s="3" t="s">
        <v>438</v>
      </c>
      <c r="B9" s="4" t="s">
        <v>439</v>
      </c>
      <c r="C9" s="4" t="s">
        <v>440</v>
      </c>
      <c r="D9" s="11">
        <v>250</v>
      </c>
      <c r="E9" s="11">
        <v>330</v>
      </c>
      <c r="F9" s="7" t="s">
        <v>441</v>
      </c>
      <c r="G9" s="7" t="s">
        <v>423</v>
      </c>
      <c r="H9" s="7" t="s">
        <v>424</v>
      </c>
      <c r="I9" s="4" t="s">
        <v>442</v>
      </c>
    </row>
    <row r="10" spans="1:9" ht="22" customHeight="1">
      <c r="A10" s="3" t="s">
        <v>438</v>
      </c>
      <c r="B10" s="4" t="s">
        <v>439</v>
      </c>
      <c r="C10" s="4" t="s">
        <v>443</v>
      </c>
      <c r="D10" s="11">
        <v>340</v>
      </c>
      <c r="E10" s="11">
        <v>430</v>
      </c>
      <c r="F10" s="7" t="s">
        <v>444</v>
      </c>
      <c r="G10" s="7" t="s">
        <v>423</v>
      </c>
      <c r="H10" s="7" t="s">
        <v>424</v>
      </c>
      <c r="I10" s="4" t="s">
        <v>445</v>
      </c>
    </row>
    <row r="11" spans="1:9" ht="22" customHeight="1">
      <c r="A11" s="3" t="s">
        <v>438</v>
      </c>
      <c r="B11" s="4" t="s">
        <v>439</v>
      </c>
      <c r="C11" s="4" t="s">
        <v>446</v>
      </c>
      <c r="D11" s="11">
        <v>460</v>
      </c>
      <c r="E11" s="11">
        <v>580</v>
      </c>
      <c r="F11" s="7" t="s">
        <v>447</v>
      </c>
      <c r="G11" s="7" t="s">
        <v>423</v>
      </c>
      <c r="H11" s="7" t="s">
        <v>448</v>
      </c>
      <c r="I11" s="4" t="s">
        <v>449</v>
      </c>
    </row>
    <row r="12" spans="1:9" ht="22" customHeight="1">
      <c r="A12" s="3" t="s">
        <v>438</v>
      </c>
      <c r="B12" s="4" t="s">
        <v>450</v>
      </c>
      <c r="C12" s="4" t="s">
        <v>451</v>
      </c>
      <c r="D12" s="11">
        <v>290</v>
      </c>
      <c r="E12" s="11">
        <v>380</v>
      </c>
      <c r="F12" s="7" t="s">
        <v>441</v>
      </c>
      <c r="G12" s="7" t="s">
        <v>423</v>
      </c>
      <c r="H12" s="7" t="s">
        <v>448</v>
      </c>
      <c r="I12" s="4" t="s">
        <v>452</v>
      </c>
    </row>
    <row r="13" spans="1:9" ht="22" customHeight="1">
      <c r="A13" s="3" t="s">
        <v>453</v>
      </c>
      <c r="B13" s="4" t="s">
        <v>454</v>
      </c>
      <c r="C13" s="4" t="s">
        <v>455</v>
      </c>
      <c r="D13" s="11">
        <v>250</v>
      </c>
      <c r="E13" s="11">
        <v>320</v>
      </c>
      <c r="F13" s="7" t="s">
        <v>456</v>
      </c>
      <c r="G13" s="7" t="s">
        <v>423</v>
      </c>
      <c r="H13" s="7" t="s">
        <v>457</v>
      </c>
      <c r="I13" s="4" t="s">
        <v>458</v>
      </c>
    </row>
    <row r="14" spans="1:9" ht="22" customHeight="1">
      <c r="A14" s="3" t="s">
        <v>453</v>
      </c>
      <c r="B14" s="4" t="s">
        <v>454</v>
      </c>
      <c r="C14" s="4" t="s">
        <v>459</v>
      </c>
      <c r="D14" s="11">
        <v>380</v>
      </c>
      <c r="E14" s="11">
        <v>480</v>
      </c>
      <c r="F14" s="7" t="s">
        <v>460</v>
      </c>
      <c r="G14" s="7" t="s">
        <v>423</v>
      </c>
      <c r="H14" s="7" t="s">
        <v>457</v>
      </c>
      <c r="I14" s="4" t="s">
        <v>461</v>
      </c>
    </row>
    <row r="15" spans="1:9" ht="22" customHeight="1">
      <c r="A15" s="3" t="s">
        <v>453</v>
      </c>
      <c r="B15" s="4" t="s">
        <v>454</v>
      </c>
      <c r="C15" s="4" t="s">
        <v>462</v>
      </c>
      <c r="D15" s="11">
        <v>520</v>
      </c>
      <c r="E15" s="11">
        <v>650</v>
      </c>
      <c r="F15" s="7" t="s">
        <v>463</v>
      </c>
      <c r="G15" s="7" t="s">
        <v>423</v>
      </c>
      <c r="H15" s="7" t="s">
        <v>424</v>
      </c>
      <c r="I15" s="4" t="s">
        <v>464</v>
      </c>
    </row>
    <row r="16" spans="1:9" ht="22" customHeight="1">
      <c r="A16" s="3" t="s">
        <v>465</v>
      </c>
      <c r="B16" s="4" t="s">
        <v>466</v>
      </c>
      <c r="C16" s="4" t="s">
        <v>467</v>
      </c>
      <c r="D16" s="11">
        <v>280</v>
      </c>
      <c r="E16" s="11">
        <v>360</v>
      </c>
      <c r="F16" s="7" t="s">
        <v>468</v>
      </c>
      <c r="G16" s="7" t="s">
        <v>423</v>
      </c>
      <c r="H16" s="7" t="s">
        <v>457</v>
      </c>
      <c r="I16" s="4" t="s">
        <v>469</v>
      </c>
    </row>
    <row r="17" spans="1:9" ht="22" customHeight="1">
      <c r="A17" s="3" t="s">
        <v>465</v>
      </c>
      <c r="B17" s="4" t="s">
        <v>466</v>
      </c>
      <c r="C17" s="4" t="s">
        <v>470</v>
      </c>
      <c r="D17" s="11">
        <v>360</v>
      </c>
      <c r="E17" s="11">
        <v>450</v>
      </c>
      <c r="F17" s="7" t="s">
        <v>471</v>
      </c>
      <c r="G17" s="7" t="s">
        <v>423</v>
      </c>
      <c r="H17" s="7" t="s">
        <v>457</v>
      </c>
      <c r="I17" s="4" t="s">
        <v>472</v>
      </c>
    </row>
    <row r="18" spans="1:9" ht="22" customHeight="1">
      <c r="A18" s="3" t="s">
        <v>473</v>
      </c>
      <c r="B18" s="4" t="s">
        <v>474</v>
      </c>
      <c r="C18" s="4" t="s">
        <v>475</v>
      </c>
      <c r="D18" s="11">
        <v>200</v>
      </c>
      <c r="E18" s="11">
        <v>270</v>
      </c>
      <c r="F18" s="7" t="s">
        <v>476</v>
      </c>
      <c r="G18" s="7" t="s">
        <v>423</v>
      </c>
      <c r="H18" s="7" t="s">
        <v>457</v>
      </c>
      <c r="I18" s="4" t="s">
        <v>477</v>
      </c>
    </row>
    <row r="19" spans="1:9" ht="22" customHeight="1">
      <c r="A19" s="3" t="s">
        <v>473</v>
      </c>
      <c r="B19" s="4" t="s">
        <v>478</v>
      </c>
      <c r="C19" s="4" t="s">
        <v>479</v>
      </c>
      <c r="D19" s="11">
        <v>240</v>
      </c>
      <c r="E19" s="11">
        <v>310</v>
      </c>
      <c r="F19" s="7" t="s">
        <v>468</v>
      </c>
      <c r="G19" s="7" t="s">
        <v>423</v>
      </c>
      <c r="H19" s="7" t="s">
        <v>457</v>
      </c>
      <c r="I19" s="4" t="s">
        <v>480</v>
      </c>
    </row>
    <row r="20" spans="1:9" ht="22" customHeight="1">
      <c r="A20" s="3" t="s">
        <v>473</v>
      </c>
      <c r="B20" s="4" t="s">
        <v>481</v>
      </c>
      <c r="C20" s="4" t="s">
        <v>482</v>
      </c>
      <c r="D20" s="11">
        <v>45</v>
      </c>
      <c r="E20" s="11">
        <v>75</v>
      </c>
      <c r="F20" s="7" t="s">
        <v>483</v>
      </c>
      <c r="G20" s="7" t="s">
        <v>484</v>
      </c>
      <c r="H20" s="7" t="s">
        <v>485</v>
      </c>
      <c r="I20" s="4" t="s">
        <v>486</v>
      </c>
    </row>
    <row r="21" spans="1:9" ht="22" customHeight="1">
      <c r="A21" s="3" t="s">
        <v>487</v>
      </c>
      <c r="B21" s="4" t="s">
        <v>488</v>
      </c>
      <c r="C21" s="4" t="s">
        <v>489</v>
      </c>
      <c r="D21" s="11">
        <v>200</v>
      </c>
      <c r="E21" s="11">
        <v>270</v>
      </c>
      <c r="F21" s="7" t="s">
        <v>468</v>
      </c>
      <c r="G21" s="7" t="s">
        <v>423</v>
      </c>
      <c r="H21" s="7" t="s">
        <v>490</v>
      </c>
      <c r="I21" s="4" t="s">
        <v>491</v>
      </c>
    </row>
    <row r="22" spans="1:9" ht="22" customHeight="1">
      <c r="A22" s="3" t="s">
        <v>487</v>
      </c>
      <c r="B22" s="4" t="s">
        <v>488</v>
      </c>
      <c r="C22" s="4" t="s">
        <v>492</v>
      </c>
      <c r="D22" s="11">
        <v>250</v>
      </c>
      <c r="E22" s="11">
        <v>320</v>
      </c>
      <c r="F22" s="7" t="s">
        <v>493</v>
      </c>
      <c r="G22" s="7" t="s">
        <v>423</v>
      </c>
      <c r="H22" s="7" t="s">
        <v>490</v>
      </c>
      <c r="I22" s="4" t="s">
        <v>494</v>
      </c>
    </row>
    <row r="23" spans="1:9" ht="22" customHeight="1">
      <c r="A23" s="3" t="s">
        <v>487</v>
      </c>
      <c r="B23" s="4" t="s">
        <v>488</v>
      </c>
      <c r="C23" s="4" t="s">
        <v>495</v>
      </c>
      <c r="D23" s="11">
        <v>320</v>
      </c>
      <c r="E23" s="11">
        <v>400</v>
      </c>
      <c r="F23" s="7" t="s">
        <v>496</v>
      </c>
      <c r="G23" s="7" t="s">
        <v>423</v>
      </c>
      <c r="H23" s="7" t="s">
        <v>490</v>
      </c>
      <c r="I23" s="4" t="s">
        <v>497</v>
      </c>
    </row>
    <row r="24" spans="1:9" ht="22" customHeight="1">
      <c r="A24" s="3" t="s">
        <v>498</v>
      </c>
      <c r="B24" s="4" t="s">
        <v>499</v>
      </c>
      <c r="C24" s="4" t="s">
        <v>500</v>
      </c>
      <c r="D24" s="11">
        <v>550</v>
      </c>
      <c r="E24" s="11">
        <v>750</v>
      </c>
      <c r="F24" s="7" t="s">
        <v>501</v>
      </c>
      <c r="G24" s="7" t="s">
        <v>403</v>
      </c>
      <c r="H24" s="7" t="s">
        <v>432</v>
      </c>
      <c r="I24" s="4" t="s">
        <v>502</v>
      </c>
    </row>
    <row r="25" spans="1:9" ht="22" customHeight="1">
      <c r="A25" s="3" t="s">
        <v>503</v>
      </c>
      <c r="B25" s="4" t="s">
        <v>504</v>
      </c>
      <c r="C25" s="4" t="s">
        <v>505</v>
      </c>
      <c r="D25" s="11">
        <v>95</v>
      </c>
      <c r="E25" s="11">
        <v>135</v>
      </c>
      <c r="F25" s="7" t="s">
        <v>506</v>
      </c>
      <c r="G25" s="7" t="s">
        <v>484</v>
      </c>
      <c r="H25" s="7" t="s">
        <v>485</v>
      </c>
      <c r="I25" s="4" t="s">
        <v>507</v>
      </c>
    </row>
    <row r="26" spans="1:9" ht="22" customHeight="1">
      <c r="A26" s="3" t="s">
        <v>508</v>
      </c>
      <c r="B26" s="4" t="s">
        <v>509</v>
      </c>
      <c r="C26" s="4" t="s">
        <v>510</v>
      </c>
      <c r="D26" s="11">
        <v>55</v>
      </c>
      <c r="E26" s="11">
        <v>85</v>
      </c>
      <c r="F26" s="7" t="s">
        <v>511</v>
      </c>
      <c r="G26" s="7" t="s">
        <v>484</v>
      </c>
      <c r="H26" s="7" t="s">
        <v>485</v>
      </c>
      <c r="I26" s="4" t="s">
        <v>512</v>
      </c>
    </row>
    <row r="27" spans="1:9" ht="22" customHeight="1">
      <c r="A27" s="3" t="s">
        <v>508</v>
      </c>
      <c r="B27" s="4" t="s">
        <v>509</v>
      </c>
      <c r="C27" s="4" t="s">
        <v>513</v>
      </c>
      <c r="D27" s="11">
        <v>120</v>
      </c>
      <c r="E27" s="11">
        <v>180</v>
      </c>
      <c r="F27" s="7" t="s">
        <v>456</v>
      </c>
      <c r="G27" s="7" t="s">
        <v>484</v>
      </c>
      <c r="H27" s="7" t="s">
        <v>485</v>
      </c>
      <c r="I27" s="4" t="s">
        <v>514</v>
      </c>
    </row>
    <row r="28" spans="1:9" ht="22" customHeight="1">
      <c r="A28" s="3" t="s">
        <v>515</v>
      </c>
      <c r="B28" s="4" t="s">
        <v>516</v>
      </c>
      <c r="C28" s="4" t="s">
        <v>517</v>
      </c>
      <c r="D28" s="11">
        <v>650</v>
      </c>
      <c r="E28" s="11">
        <v>900</v>
      </c>
      <c r="F28" s="7" t="s">
        <v>518</v>
      </c>
      <c r="G28" s="7" t="s">
        <v>423</v>
      </c>
      <c r="H28" s="7" t="s">
        <v>432</v>
      </c>
      <c r="I28" s="4" t="s">
        <v>519</v>
      </c>
    </row>
    <row r="29" spans="1:9" ht="22" customHeight="1">
      <c r="A29" s="3" t="s">
        <v>515</v>
      </c>
      <c r="B29" s="4" t="s">
        <v>520</v>
      </c>
      <c r="C29" s="4" t="s">
        <v>521</v>
      </c>
      <c r="D29" s="11">
        <v>1800</v>
      </c>
      <c r="E29" s="11">
        <v>2600</v>
      </c>
      <c r="F29" s="7" t="s">
        <v>522</v>
      </c>
      <c r="G29" s="7" t="s">
        <v>403</v>
      </c>
      <c r="H29" s="7" t="s">
        <v>523</v>
      </c>
      <c r="I29" s="4" t="s">
        <v>524</v>
      </c>
    </row>
    <row r="30" spans="1:9" ht="22" customHeight="1">
      <c r="A30" s="3" t="s">
        <v>525</v>
      </c>
      <c r="B30" s="4" t="s">
        <v>526</v>
      </c>
      <c r="C30" s="4" t="s">
        <v>527</v>
      </c>
      <c r="D30" s="11">
        <v>480</v>
      </c>
      <c r="E30" s="11">
        <v>620</v>
      </c>
      <c r="F30" s="7" t="s">
        <v>528</v>
      </c>
      <c r="G30" s="7" t="s">
        <v>423</v>
      </c>
      <c r="H30" s="7" t="s">
        <v>432</v>
      </c>
      <c r="I30" s="4" t="s">
        <v>529</v>
      </c>
    </row>
    <row r="31" spans="1:9" ht="22" customHeight="1">
      <c r="A31" s="3" t="s">
        <v>525</v>
      </c>
      <c r="B31" s="4" t="s">
        <v>530</v>
      </c>
      <c r="C31" s="4" t="s">
        <v>531</v>
      </c>
      <c r="D31" s="11">
        <v>75</v>
      </c>
      <c r="E31" s="11">
        <v>110</v>
      </c>
      <c r="F31" s="7" t="s">
        <v>532</v>
      </c>
      <c r="G31" s="7" t="s">
        <v>484</v>
      </c>
      <c r="H31" s="7" t="s">
        <v>485</v>
      </c>
      <c r="I31" s="4" t="s">
        <v>533</v>
      </c>
    </row>
    <row r="32" spans="1:9" ht="22" customHeight="1">
      <c r="A32" s="3" t="s">
        <v>525</v>
      </c>
      <c r="B32" s="4" t="s">
        <v>534</v>
      </c>
      <c r="C32" s="4" t="s">
        <v>535</v>
      </c>
      <c r="D32" s="11">
        <v>35</v>
      </c>
      <c r="E32" s="11">
        <v>55</v>
      </c>
      <c r="F32" s="7" t="s">
        <v>483</v>
      </c>
      <c r="G32" s="7" t="s">
        <v>484</v>
      </c>
      <c r="H32" s="7" t="s">
        <v>536</v>
      </c>
      <c r="I32" s="4" t="s">
        <v>537</v>
      </c>
    </row>
    <row r="33" spans="1:9" ht="22" customHeight="1">
      <c r="A33" s="3" t="s">
        <v>525</v>
      </c>
      <c r="B33" s="4" t="s">
        <v>538</v>
      </c>
      <c r="C33" s="4" t="s">
        <v>539</v>
      </c>
      <c r="D33" s="11">
        <v>180</v>
      </c>
      <c r="E33" s="11">
        <v>250</v>
      </c>
      <c r="F33" s="7" t="s">
        <v>540</v>
      </c>
      <c r="G33" s="7" t="s">
        <v>423</v>
      </c>
      <c r="H33" s="7" t="s">
        <v>485</v>
      </c>
      <c r="I33" s="4" t="s">
        <v>541</v>
      </c>
    </row>
    <row r="34" spans="1:9" ht="22" customHeight="1">
      <c r="A34" s="3" t="s">
        <v>525</v>
      </c>
      <c r="B34" s="4" t="s">
        <v>542</v>
      </c>
      <c r="C34" s="4" t="s">
        <v>539</v>
      </c>
      <c r="D34" s="11">
        <v>160</v>
      </c>
      <c r="E34" s="11">
        <v>220</v>
      </c>
      <c r="F34" s="7" t="s">
        <v>540</v>
      </c>
      <c r="G34" s="7" t="s">
        <v>423</v>
      </c>
      <c r="H34" s="7" t="s">
        <v>485</v>
      </c>
      <c r="I34" s="4" t="s">
        <v>541</v>
      </c>
    </row>
    <row r="36" spans="1:9">
      <c r="A36" s="13" t="s">
        <v>543</v>
      </c>
      <c r="B36" s="13"/>
      <c r="C36" s="13"/>
      <c r="D36" s="13"/>
      <c r="E36" s="13"/>
      <c r="F36" s="13"/>
      <c r="G36" s="13"/>
      <c r="H36" s="13"/>
      <c r="I36" s="13"/>
    </row>
  </sheetData>
  <mergeCells count="4">
    <mergeCell ref="A1:I1"/>
    <mergeCell ref="A2:I2"/>
    <mergeCell ref="A3:I3"/>
    <mergeCell ref="A36:I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  <col min="3" max="4" width="26.7109375" customWidth="1"/>
    <col min="5" max="5" width="9.7109375" customWidth="1"/>
    <col min="6" max="6" width="22.7109375" customWidth="1"/>
    <col min="7" max="7" width="8.7109375" customWidth="1"/>
    <col min="8" max="8" width="3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544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545</v>
      </c>
      <c r="B4" s="6" t="s">
        <v>546</v>
      </c>
      <c r="C4" s="6" t="s">
        <v>547</v>
      </c>
      <c r="D4" s="6" t="s">
        <v>548</v>
      </c>
      <c r="E4" s="6" t="s">
        <v>549</v>
      </c>
      <c r="F4" s="6" t="s">
        <v>550</v>
      </c>
      <c r="G4" s="6" t="s">
        <v>551</v>
      </c>
      <c r="H4" s="6" t="s">
        <v>191</v>
      </c>
    </row>
    <row r="5" spans="1:8" ht="30" customHeight="1">
      <c r="A5" s="3" t="s">
        <v>552</v>
      </c>
      <c r="B5" s="14" t="s">
        <v>553</v>
      </c>
      <c r="C5" s="14" t="s">
        <v>554</v>
      </c>
      <c r="D5" s="14" t="s">
        <v>555</v>
      </c>
      <c r="E5" s="14" t="s">
        <v>278</v>
      </c>
      <c r="F5" s="14" t="s">
        <v>556</v>
      </c>
      <c r="G5" s="14" t="s">
        <v>557</v>
      </c>
      <c r="H5" s="14" t="s">
        <v>558</v>
      </c>
    </row>
    <row r="6" spans="1:8" ht="30" customHeight="1">
      <c r="A6" s="3" t="s">
        <v>559</v>
      </c>
      <c r="B6" s="14" t="s">
        <v>560</v>
      </c>
      <c r="C6" s="14" t="s">
        <v>561</v>
      </c>
      <c r="D6" s="14" t="s">
        <v>562</v>
      </c>
      <c r="E6" s="14" t="s">
        <v>278</v>
      </c>
      <c r="F6" s="14" t="s">
        <v>563</v>
      </c>
      <c r="G6" s="14" t="s">
        <v>432</v>
      </c>
      <c r="H6" s="14" t="s">
        <v>564</v>
      </c>
    </row>
    <row r="7" spans="1:8" ht="30" customHeight="1">
      <c r="A7" s="3" t="s">
        <v>565</v>
      </c>
      <c r="B7" s="14" t="s">
        <v>566</v>
      </c>
      <c r="C7" s="14" t="s">
        <v>567</v>
      </c>
      <c r="D7" s="14" t="s">
        <v>568</v>
      </c>
      <c r="E7" s="14" t="s">
        <v>276</v>
      </c>
      <c r="F7" s="14" t="s">
        <v>569</v>
      </c>
      <c r="G7" s="14" t="s">
        <v>448</v>
      </c>
      <c r="H7" s="14" t="s">
        <v>570</v>
      </c>
    </row>
    <row r="8" spans="1:8" ht="30" customHeight="1">
      <c r="A8" s="3" t="s">
        <v>571</v>
      </c>
      <c r="B8" s="14" t="s">
        <v>572</v>
      </c>
      <c r="C8" s="14" t="s">
        <v>573</v>
      </c>
      <c r="D8" s="14" t="s">
        <v>574</v>
      </c>
      <c r="E8" s="14" t="s">
        <v>276</v>
      </c>
      <c r="F8" s="14" t="s">
        <v>575</v>
      </c>
      <c r="G8" s="14" t="s">
        <v>448</v>
      </c>
      <c r="H8" s="14" t="s">
        <v>576</v>
      </c>
    </row>
    <row r="9" spans="1:8" ht="30" customHeight="1">
      <c r="A9" s="3" t="s">
        <v>577</v>
      </c>
      <c r="B9" s="14" t="s">
        <v>578</v>
      </c>
      <c r="C9" s="14" t="s">
        <v>579</v>
      </c>
      <c r="D9" s="14" t="s">
        <v>580</v>
      </c>
      <c r="E9" s="14" t="s">
        <v>280</v>
      </c>
      <c r="F9" s="14" t="s">
        <v>581</v>
      </c>
      <c r="G9" s="14" t="s">
        <v>557</v>
      </c>
      <c r="H9" s="14" t="s">
        <v>582</v>
      </c>
    </row>
    <row r="10" spans="1:8" ht="30" customHeight="1">
      <c r="A10" s="3" t="s">
        <v>583</v>
      </c>
      <c r="B10" s="14" t="s">
        <v>584</v>
      </c>
      <c r="C10" s="14" t="s">
        <v>585</v>
      </c>
      <c r="D10" s="14" t="s">
        <v>586</v>
      </c>
      <c r="E10" s="14" t="s">
        <v>280</v>
      </c>
      <c r="F10" s="14" t="s">
        <v>587</v>
      </c>
      <c r="G10" s="14" t="s">
        <v>557</v>
      </c>
      <c r="H10" s="14" t="s">
        <v>588</v>
      </c>
    </row>
    <row r="11" spans="1:8" ht="30" customHeight="1">
      <c r="A11" s="3" t="s">
        <v>589</v>
      </c>
      <c r="B11" s="14" t="s">
        <v>590</v>
      </c>
      <c r="C11" s="14" t="s">
        <v>591</v>
      </c>
      <c r="D11" s="14" t="s">
        <v>592</v>
      </c>
      <c r="E11" s="14" t="s">
        <v>280</v>
      </c>
      <c r="F11" s="14" t="s">
        <v>593</v>
      </c>
      <c r="G11" s="14" t="s">
        <v>523</v>
      </c>
      <c r="H11" s="14" t="s">
        <v>594</v>
      </c>
    </row>
    <row r="12" spans="1:8" ht="30" customHeight="1">
      <c r="A12" s="3" t="s">
        <v>595</v>
      </c>
      <c r="B12" s="14" t="s">
        <v>596</v>
      </c>
      <c r="C12" s="14" t="s">
        <v>597</v>
      </c>
      <c r="D12" s="14" t="s">
        <v>598</v>
      </c>
      <c r="E12" s="14" t="s">
        <v>282</v>
      </c>
      <c r="F12" s="14" t="s">
        <v>599</v>
      </c>
      <c r="G12" s="14" t="s">
        <v>557</v>
      </c>
      <c r="H12" s="14" t="s">
        <v>600</v>
      </c>
    </row>
    <row r="13" spans="1:8" ht="30" customHeight="1">
      <c r="A13" s="3" t="s">
        <v>601</v>
      </c>
      <c r="B13" s="14" t="s">
        <v>602</v>
      </c>
      <c r="C13" s="14" t="s">
        <v>603</v>
      </c>
      <c r="D13" s="14" t="s">
        <v>604</v>
      </c>
      <c r="E13" s="14" t="s">
        <v>282</v>
      </c>
      <c r="F13" s="14" t="s">
        <v>605</v>
      </c>
      <c r="G13" s="14" t="s">
        <v>606</v>
      </c>
      <c r="H13" s="14" t="s">
        <v>607</v>
      </c>
    </row>
    <row r="14" spans="1:8" ht="30" customHeight="1">
      <c r="A14" s="3" t="s">
        <v>608</v>
      </c>
      <c r="B14" s="14" t="s">
        <v>609</v>
      </c>
      <c r="C14" s="14" t="s">
        <v>610</v>
      </c>
      <c r="D14" s="14" t="s">
        <v>611</v>
      </c>
      <c r="E14" s="14" t="s">
        <v>284</v>
      </c>
      <c r="F14" s="14" t="s">
        <v>612</v>
      </c>
      <c r="G14" s="14" t="s">
        <v>606</v>
      </c>
      <c r="H14" s="14" t="s">
        <v>613</v>
      </c>
    </row>
    <row r="15" spans="1:8" ht="30" customHeight="1">
      <c r="A15" s="3" t="s">
        <v>614</v>
      </c>
      <c r="B15" s="14" t="s">
        <v>615</v>
      </c>
      <c r="C15" s="14" t="s">
        <v>616</v>
      </c>
      <c r="D15" s="14" t="s">
        <v>617</v>
      </c>
      <c r="E15" s="14" t="s">
        <v>280</v>
      </c>
      <c r="F15" s="14" t="s">
        <v>618</v>
      </c>
      <c r="G15" s="14" t="s">
        <v>523</v>
      </c>
      <c r="H15" s="14" t="s">
        <v>619</v>
      </c>
    </row>
    <row r="16" spans="1:8" ht="30" customHeight="1">
      <c r="A16" s="3" t="s">
        <v>620</v>
      </c>
      <c r="B16" s="14" t="s">
        <v>621</v>
      </c>
      <c r="C16" s="14" t="s">
        <v>622</v>
      </c>
      <c r="D16" s="14" t="s">
        <v>623</v>
      </c>
      <c r="E16" s="14" t="s">
        <v>278</v>
      </c>
      <c r="F16" s="14" t="s">
        <v>624</v>
      </c>
      <c r="G16" s="14" t="s">
        <v>523</v>
      </c>
      <c r="H16" s="14" t="s">
        <v>625</v>
      </c>
    </row>
    <row r="18" spans="1:8">
      <c r="A18" s="13" t="s">
        <v>626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3.7109375" customWidth="1"/>
    <col min="2" max="2" width="11.7109375" customWidth="1"/>
    <col min="3" max="3" width="50.7109375" customWidth="1"/>
    <col min="4" max="4" width="7.7109375" customWidth="1"/>
    <col min="5" max="6" width="8.7109375" customWidth="1"/>
    <col min="7" max="10" width="11.7109375" customWidth="1"/>
    <col min="11" max="11" width="7.7109375" customWidth="1"/>
    <col min="12" max="13" width="14.7109375" customWidth="1"/>
    <col min="14" max="14" width="6.7109375" customWidth="1"/>
    <col min="15" max="15" width="8.7109375" customWidth="1"/>
    <col min="16" max="16" width="7.7109375" customWidth="1"/>
    <col min="17" max="17" width="36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" customHeight="1">
      <c r="A3" s="5" t="s">
        <v>627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2" customHeight="1">
      <c r="A4" s="6" t="s">
        <v>48</v>
      </c>
      <c r="B4" s="6" t="s">
        <v>628</v>
      </c>
      <c r="C4" s="6" t="s">
        <v>629</v>
      </c>
      <c r="D4" s="6" t="s">
        <v>630</v>
      </c>
      <c r="E4" s="6" t="s">
        <v>631</v>
      </c>
      <c r="F4" s="6" t="s">
        <v>632</v>
      </c>
      <c r="G4" s="6" t="s">
        <v>633</v>
      </c>
      <c r="H4" s="6" t="s">
        <v>634</v>
      </c>
      <c r="I4" s="6" t="s">
        <v>635</v>
      </c>
      <c r="J4" s="6" t="s">
        <v>636</v>
      </c>
      <c r="K4" s="6" t="s">
        <v>637</v>
      </c>
      <c r="L4" s="6" t="s">
        <v>638</v>
      </c>
      <c r="M4" s="6" t="s">
        <v>639</v>
      </c>
      <c r="N4" s="6" t="s">
        <v>640</v>
      </c>
      <c r="O4" s="6" t="s">
        <v>641</v>
      </c>
      <c r="P4" s="6" t="s">
        <v>642</v>
      </c>
      <c r="Q4" s="6" t="s">
        <v>643</v>
      </c>
    </row>
    <row r="5" spans="1:17" ht="18" customHeight="1">
      <c r="A5" s="9" t="s">
        <v>644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30" customHeight="1">
      <c r="A6" s="4" t="s">
        <v>644</v>
      </c>
      <c r="B6" s="7" t="s">
        <v>645</v>
      </c>
      <c r="C6" s="4" t="s">
        <v>646</v>
      </c>
      <c r="D6" s="7" t="s">
        <v>647</v>
      </c>
      <c r="E6" s="10">
        <v>0.1</v>
      </c>
      <c r="F6" s="10">
        <v>0.91</v>
      </c>
      <c r="G6" s="11">
        <v>9.35</v>
      </c>
      <c r="H6" s="11">
        <v>12.89</v>
      </c>
      <c r="I6" s="11">
        <v>0</v>
      </c>
      <c r="J6" s="11">
        <v>0</v>
      </c>
      <c r="K6" s="15">
        <v>0.06</v>
      </c>
      <c r="L6" s="12">
        <v>24</v>
      </c>
      <c r="M6" s="12">
        <v>32</v>
      </c>
      <c r="N6" s="7" t="s">
        <v>198</v>
      </c>
      <c r="O6" s="7" t="s">
        <v>648</v>
      </c>
      <c r="P6" s="7" t="s">
        <v>278</v>
      </c>
      <c r="Q6" s="4" t="s">
        <v>649</v>
      </c>
    </row>
    <row r="7" spans="1:17" ht="30" customHeight="1">
      <c r="A7" s="4" t="s">
        <v>644</v>
      </c>
      <c r="B7" s="7" t="s">
        <v>650</v>
      </c>
      <c r="C7" s="4" t="s">
        <v>651</v>
      </c>
      <c r="D7" s="7" t="s">
        <v>647</v>
      </c>
      <c r="E7" s="10">
        <v>0.11</v>
      </c>
      <c r="F7" s="10">
        <v>0.91</v>
      </c>
      <c r="G7" s="11">
        <v>9.99</v>
      </c>
      <c r="H7" s="11">
        <v>13.77</v>
      </c>
      <c r="I7" s="11">
        <v>0</v>
      </c>
      <c r="J7" s="11">
        <v>0</v>
      </c>
      <c r="K7" s="15">
        <v>0.06</v>
      </c>
      <c r="L7" s="12">
        <v>22</v>
      </c>
      <c r="M7" s="12">
        <v>28</v>
      </c>
      <c r="N7" s="7" t="s">
        <v>198</v>
      </c>
      <c r="O7" s="7" t="s">
        <v>648</v>
      </c>
      <c r="P7" s="7" t="s">
        <v>276</v>
      </c>
      <c r="Q7" s="4" t="s">
        <v>652</v>
      </c>
    </row>
    <row r="8" spans="1:17" ht="30" customHeight="1">
      <c r="A8" s="4" t="s">
        <v>644</v>
      </c>
      <c r="B8" s="7" t="s">
        <v>653</v>
      </c>
      <c r="C8" s="4" t="s">
        <v>654</v>
      </c>
      <c r="D8" s="7" t="s">
        <v>647</v>
      </c>
      <c r="E8" s="10">
        <v>0.1</v>
      </c>
      <c r="F8" s="10">
        <v>0.91</v>
      </c>
      <c r="G8" s="11">
        <v>8.58</v>
      </c>
      <c r="H8" s="11">
        <v>12.32</v>
      </c>
      <c r="I8" s="11">
        <v>16.35</v>
      </c>
      <c r="J8" s="11">
        <v>0</v>
      </c>
      <c r="K8" s="15">
        <v>0.06</v>
      </c>
      <c r="L8" s="12">
        <v>40</v>
      </c>
      <c r="M8" s="12">
        <v>52</v>
      </c>
      <c r="N8" s="7" t="s">
        <v>198</v>
      </c>
      <c r="O8" s="7" t="s">
        <v>200</v>
      </c>
      <c r="P8" s="7" t="s">
        <v>276</v>
      </c>
      <c r="Q8" s="4" t="s">
        <v>655</v>
      </c>
    </row>
    <row r="9" spans="1:17" ht="30" customHeight="1">
      <c r="A9" s="4" t="s">
        <v>644</v>
      </c>
      <c r="B9" s="7" t="s">
        <v>656</v>
      </c>
      <c r="C9" s="4" t="s">
        <v>657</v>
      </c>
      <c r="D9" s="7" t="s">
        <v>647</v>
      </c>
      <c r="E9" s="10">
        <v>0.11</v>
      </c>
      <c r="F9" s="10">
        <v>0.91</v>
      </c>
      <c r="G9" s="11">
        <v>9.99</v>
      </c>
      <c r="H9" s="11">
        <v>13.77</v>
      </c>
      <c r="I9" s="11">
        <v>27.5</v>
      </c>
      <c r="J9" s="11">
        <v>0</v>
      </c>
      <c r="K9" s="15">
        <v>0.06</v>
      </c>
      <c r="L9" s="12">
        <v>55</v>
      </c>
      <c r="M9" s="12">
        <v>68</v>
      </c>
      <c r="N9" s="7" t="s">
        <v>198</v>
      </c>
      <c r="O9" s="7" t="s">
        <v>200</v>
      </c>
      <c r="P9" s="7" t="s">
        <v>276</v>
      </c>
      <c r="Q9" s="4" t="s">
        <v>658</v>
      </c>
    </row>
    <row r="10" spans="1:17" ht="30" customHeight="1">
      <c r="A10" s="4" t="s">
        <v>644</v>
      </c>
      <c r="B10" s="7" t="s">
        <v>659</v>
      </c>
      <c r="C10" s="4" t="s">
        <v>660</v>
      </c>
      <c r="D10" s="7" t="s">
        <v>647</v>
      </c>
      <c r="E10" s="10">
        <v>0.21</v>
      </c>
      <c r="F10" s="10">
        <v>0.91</v>
      </c>
      <c r="G10" s="11">
        <v>19.09</v>
      </c>
      <c r="H10" s="11">
        <v>26.31</v>
      </c>
      <c r="I10" s="11">
        <v>18.96</v>
      </c>
      <c r="J10" s="11">
        <v>0</v>
      </c>
      <c r="K10" s="15">
        <v>0.06</v>
      </c>
      <c r="L10" s="12">
        <v>72</v>
      </c>
      <c r="M10" s="12">
        <v>88</v>
      </c>
      <c r="N10" s="7" t="s">
        <v>198</v>
      </c>
      <c r="O10" s="7" t="s">
        <v>200</v>
      </c>
      <c r="P10" s="7" t="s">
        <v>276</v>
      </c>
      <c r="Q10" s="4" t="s">
        <v>661</v>
      </c>
    </row>
    <row r="11" spans="1:17" ht="30" customHeight="1">
      <c r="A11" s="4" t="s">
        <v>644</v>
      </c>
      <c r="B11" s="7" t="s">
        <v>662</v>
      </c>
      <c r="C11" s="4" t="s">
        <v>663</v>
      </c>
      <c r="D11" s="7" t="s">
        <v>647</v>
      </c>
      <c r="E11" s="10">
        <v>0.35</v>
      </c>
      <c r="F11" s="10">
        <v>0.88</v>
      </c>
      <c r="G11" s="11">
        <v>31.83</v>
      </c>
      <c r="H11" s="11">
        <v>43.88</v>
      </c>
      <c r="I11" s="11">
        <v>0</v>
      </c>
      <c r="J11" s="11">
        <v>0</v>
      </c>
      <c r="K11" s="15">
        <v>0.06</v>
      </c>
      <c r="L11" s="12">
        <v>38</v>
      </c>
      <c r="M11" s="12">
        <v>58</v>
      </c>
      <c r="N11" s="7" t="s">
        <v>198</v>
      </c>
      <c r="O11" s="7" t="s">
        <v>648</v>
      </c>
      <c r="P11" s="7" t="s">
        <v>278</v>
      </c>
      <c r="Q11" s="4" t="s">
        <v>664</v>
      </c>
    </row>
    <row r="12" spans="1:17" ht="30" customHeight="1">
      <c r="A12" s="4" t="s">
        <v>644</v>
      </c>
      <c r="B12" s="7" t="s">
        <v>665</v>
      </c>
      <c r="C12" s="4" t="s">
        <v>666</v>
      </c>
      <c r="D12" s="7" t="s">
        <v>647</v>
      </c>
      <c r="E12" s="10">
        <v>0.08</v>
      </c>
      <c r="F12" s="10">
        <v>0.91</v>
      </c>
      <c r="G12" s="11">
        <v>7.28</v>
      </c>
      <c r="H12" s="11">
        <v>10.03</v>
      </c>
      <c r="I12" s="11">
        <v>0</v>
      </c>
      <c r="J12" s="11">
        <v>0</v>
      </c>
      <c r="K12" s="15">
        <v>0.06</v>
      </c>
      <c r="L12" s="12">
        <v>18</v>
      </c>
      <c r="M12" s="12">
        <v>28</v>
      </c>
      <c r="N12" s="7" t="s">
        <v>198</v>
      </c>
      <c r="O12" s="7" t="s">
        <v>200</v>
      </c>
      <c r="P12" s="7" t="s">
        <v>278</v>
      </c>
      <c r="Q12" s="4" t="s">
        <v>667</v>
      </c>
    </row>
    <row r="13" spans="1:17" ht="30" customHeight="1">
      <c r="A13" s="4" t="s">
        <v>644</v>
      </c>
      <c r="B13" s="7" t="s">
        <v>668</v>
      </c>
      <c r="C13" s="4" t="s">
        <v>669</v>
      </c>
      <c r="D13" s="7" t="s">
        <v>647</v>
      </c>
      <c r="E13" s="10">
        <v>0.25</v>
      </c>
      <c r="F13" s="10">
        <v>0.91</v>
      </c>
      <c r="G13" s="11">
        <v>22.73</v>
      </c>
      <c r="H13" s="11">
        <v>31.31</v>
      </c>
      <c r="I13" s="11">
        <v>43.75</v>
      </c>
      <c r="J13" s="11">
        <v>0</v>
      </c>
      <c r="K13" s="15">
        <v>0.06</v>
      </c>
      <c r="L13" s="12">
        <v>105</v>
      </c>
      <c r="M13" s="12">
        <v>135</v>
      </c>
      <c r="N13" s="7" t="s">
        <v>200</v>
      </c>
      <c r="O13" s="7" t="s">
        <v>200</v>
      </c>
      <c r="P13" s="7" t="s">
        <v>276</v>
      </c>
      <c r="Q13" s="4" t="s">
        <v>670</v>
      </c>
    </row>
    <row r="14" spans="1:17" ht="30" customHeight="1">
      <c r="A14" s="4" t="s">
        <v>644</v>
      </c>
      <c r="B14" s="7" t="s">
        <v>671</v>
      </c>
      <c r="C14" s="4" t="s">
        <v>672</v>
      </c>
      <c r="D14" s="7" t="s">
        <v>647</v>
      </c>
      <c r="E14" s="10">
        <v>0.2</v>
      </c>
      <c r="F14" s="10">
        <v>0.91</v>
      </c>
      <c r="G14" s="11">
        <v>18.19</v>
      </c>
      <c r="H14" s="11">
        <v>25.07</v>
      </c>
      <c r="I14" s="11">
        <v>37.5</v>
      </c>
      <c r="J14" s="11">
        <v>0</v>
      </c>
      <c r="K14" s="15">
        <v>0.06</v>
      </c>
      <c r="L14" s="12">
        <v>88</v>
      </c>
      <c r="M14" s="12">
        <v>115</v>
      </c>
      <c r="N14" s="7" t="s">
        <v>200</v>
      </c>
      <c r="O14" s="7" t="s">
        <v>200</v>
      </c>
      <c r="P14" s="7" t="s">
        <v>276</v>
      </c>
      <c r="Q14" s="4" t="s">
        <v>673</v>
      </c>
    </row>
    <row r="15" spans="1:17" ht="30" customHeight="1">
      <c r="A15" s="4" t="s">
        <v>644</v>
      </c>
      <c r="B15" s="7" t="s">
        <v>674</v>
      </c>
      <c r="C15" s="4" t="s">
        <v>675</v>
      </c>
      <c r="D15" s="7" t="s">
        <v>647</v>
      </c>
      <c r="E15" s="10">
        <v>0.22</v>
      </c>
      <c r="F15" s="10">
        <v>0.91</v>
      </c>
      <c r="G15" s="11">
        <v>20.01</v>
      </c>
      <c r="H15" s="11">
        <v>27.57</v>
      </c>
      <c r="I15" s="11">
        <v>52.5</v>
      </c>
      <c r="J15" s="11">
        <v>0</v>
      </c>
      <c r="K15" s="15">
        <v>0.06</v>
      </c>
      <c r="L15" s="12">
        <v>115</v>
      </c>
      <c r="M15" s="12">
        <v>145</v>
      </c>
      <c r="N15" s="7" t="s">
        <v>200</v>
      </c>
      <c r="O15" s="7" t="s">
        <v>648</v>
      </c>
      <c r="P15" s="7" t="s">
        <v>276</v>
      </c>
      <c r="Q15" s="4" t="s">
        <v>676</v>
      </c>
    </row>
    <row r="16" spans="1:17" ht="30" customHeight="1">
      <c r="A16" s="4" t="s">
        <v>644</v>
      </c>
      <c r="B16" s="7" t="s">
        <v>677</v>
      </c>
      <c r="C16" s="4" t="s">
        <v>678</v>
      </c>
      <c r="D16" s="7" t="s">
        <v>647</v>
      </c>
      <c r="E16" s="10">
        <v>0.35</v>
      </c>
      <c r="F16" s="10">
        <v>0.91</v>
      </c>
      <c r="G16" s="11">
        <v>31.83</v>
      </c>
      <c r="H16" s="11">
        <v>43.88</v>
      </c>
      <c r="I16" s="11">
        <v>20</v>
      </c>
      <c r="J16" s="11">
        <v>0</v>
      </c>
      <c r="K16" s="15">
        <v>0.06</v>
      </c>
      <c r="L16" s="12">
        <v>55</v>
      </c>
      <c r="M16" s="12">
        <v>80</v>
      </c>
      <c r="N16" s="7" t="s">
        <v>200</v>
      </c>
      <c r="O16" s="7" t="s">
        <v>200</v>
      </c>
      <c r="P16" s="7" t="s">
        <v>272</v>
      </c>
      <c r="Q16" s="4" t="s">
        <v>679</v>
      </c>
    </row>
    <row r="17" spans="1:17" ht="30" customHeight="1">
      <c r="A17" s="4" t="s">
        <v>644</v>
      </c>
      <c r="B17" s="7" t="s">
        <v>680</v>
      </c>
      <c r="C17" s="4" t="s">
        <v>681</v>
      </c>
      <c r="D17" s="7" t="s">
        <v>682</v>
      </c>
      <c r="E17" s="10">
        <v>0.02</v>
      </c>
      <c r="F17" s="10">
        <v>0.91</v>
      </c>
      <c r="G17" s="11">
        <v>1.82</v>
      </c>
      <c r="H17" s="11">
        <v>1.25</v>
      </c>
      <c r="I17" s="11">
        <v>1.5</v>
      </c>
      <c r="J17" s="11">
        <v>0</v>
      </c>
      <c r="K17" s="15">
        <v>0.05</v>
      </c>
      <c r="L17" s="12">
        <v>4</v>
      </c>
      <c r="M17" s="12">
        <v>8</v>
      </c>
      <c r="N17" s="7" t="s">
        <v>200</v>
      </c>
      <c r="O17" s="7" t="s">
        <v>648</v>
      </c>
      <c r="P17" s="7" t="s">
        <v>272</v>
      </c>
      <c r="Q17" s="4" t="s">
        <v>683</v>
      </c>
    </row>
    <row r="18" spans="1:17" ht="30" customHeight="1">
      <c r="A18" s="4" t="s">
        <v>644</v>
      </c>
      <c r="B18" s="7" t="s">
        <v>684</v>
      </c>
      <c r="C18" s="4" t="s">
        <v>685</v>
      </c>
      <c r="D18" s="7" t="s">
        <v>647</v>
      </c>
      <c r="E18" s="10">
        <v>0.08</v>
      </c>
      <c r="F18" s="10">
        <v>0.91</v>
      </c>
      <c r="G18" s="11">
        <v>7.28</v>
      </c>
      <c r="H18" s="11">
        <v>10.03</v>
      </c>
      <c r="I18" s="11">
        <v>0</v>
      </c>
      <c r="J18" s="11">
        <v>0</v>
      </c>
      <c r="K18" s="15">
        <v>0.06</v>
      </c>
      <c r="L18" s="12">
        <v>22</v>
      </c>
      <c r="M18" s="12">
        <v>30</v>
      </c>
      <c r="N18" s="7" t="s">
        <v>198</v>
      </c>
      <c r="O18" s="7" t="s">
        <v>648</v>
      </c>
      <c r="P18" s="7" t="s">
        <v>278</v>
      </c>
      <c r="Q18" s="4" t="s">
        <v>686</v>
      </c>
    </row>
    <row r="19" spans="1:17" ht="30" customHeight="1">
      <c r="A19" s="4" t="s">
        <v>644</v>
      </c>
      <c r="B19" s="7" t="s">
        <v>687</v>
      </c>
      <c r="C19" s="4" t="s">
        <v>688</v>
      </c>
      <c r="D19" s="7" t="s">
        <v>647</v>
      </c>
      <c r="E19" s="10">
        <v>0.09</v>
      </c>
      <c r="F19" s="10">
        <v>0.91</v>
      </c>
      <c r="G19" s="11">
        <v>8.19</v>
      </c>
      <c r="H19" s="11">
        <v>11.28</v>
      </c>
      <c r="I19" s="11">
        <v>0</v>
      </c>
      <c r="J19" s="11">
        <v>0</v>
      </c>
      <c r="K19" s="15">
        <v>0.06</v>
      </c>
      <c r="L19" s="12">
        <v>22</v>
      </c>
      <c r="M19" s="12">
        <v>28</v>
      </c>
      <c r="N19" s="7" t="s">
        <v>198</v>
      </c>
      <c r="O19" s="7" t="s">
        <v>648</v>
      </c>
      <c r="P19" s="7" t="s">
        <v>278</v>
      </c>
      <c r="Q19" s="4" t="s">
        <v>689</v>
      </c>
    </row>
    <row r="20" spans="1:17" ht="30" customHeight="1">
      <c r="A20" s="4" t="s">
        <v>644</v>
      </c>
      <c r="B20" s="7" t="s">
        <v>690</v>
      </c>
      <c r="C20" s="4" t="s">
        <v>691</v>
      </c>
      <c r="D20" s="7" t="s">
        <v>647</v>
      </c>
      <c r="E20" s="10">
        <v>0.3</v>
      </c>
      <c r="F20" s="10">
        <v>0.88</v>
      </c>
      <c r="G20" s="11">
        <v>27.28</v>
      </c>
      <c r="H20" s="11">
        <v>37.59</v>
      </c>
      <c r="I20" s="11">
        <v>4.5</v>
      </c>
      <c r="J20" s="11">
        <v>0</v>
      </c>
      <c r="K20" s="15">
        <v>0.06</v>
      </c>
      <c r="L20" s="12">
        <v>42</v>
      </c>
      <c r="M20" s="12">
        <v>65</v>
      </c>
      <c r="N20" s="7" t="s">
        <v>198</v>
      </c>
      <c r="O20" s="7" t="s">
        <v>648</v>
      </c>
      <c r="P20" s="7" t="s">
        <v>278</v>
      </c>
      <c r="Q20" s="4" t="s">
        <v>692</v>
      </c>
    </row>
    <row r="21" spans="1:17" ht="18" customHeight="1">
      <c r="A21" s="9" t="s">
        <v>693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30" customHeight="1">
      <c r="A22" s="4" t="s">
        <v>693</v>
      </c>
      <c r="B22" s="7" t="s">
        <v>694</v>
      </c>
      <c r="C22" s="4" t="s">
        <v>695</v>
      </c>
      <c r="D22" s="7" t="s">
        <v>647</v>
      </c>
      <c r="E22" s="10">
        <v>0.4</v>
      </c>
      <c r="F22" s="10">
        <v>0.88</v>
      </c>
      <c r="G22" s="11">
        <v>36.38</v>
      </c>
      <c r="H22" s="11">
        <v>50.13</v>
      </c>
      <c r="I22" s="11">
        <v>0</v>
      </c>
      <c r="J22" s="11">
        <v>0</v>
      </c>
      <c r="K22" s="15">
        <v>0.06</v>
      </c>
      <c r="L22" s="12">
        <v>65</v>
      </c>
      <c r="M22" s="12">
        <v>100</v>
      </c>
      <c r="N22" s="7" t="s">
        <v>200</v>
      </c>
      <c r="O22" s="7" t="s">
        <v>648</v>
      </c>
      <c r="P22" s="7" t="s">
        <v>278</v>
      </c>
      <c r="Q22" s="4"/>
    </row>
    <row r="23" spans="1:17" ht="30" customHeight="1">
      <c r="A23" s="4" t="s">
        <v>693</v>
      </c>
      <c r="B23" s="7" t="s">
        <v>696</v>
      </c>
      <c r="C23" s="4" t="s">
        <v>697</v>
      </c>
      <c r="D23" s="7" t="s">
        <v>647</v>
      </c>
      <c r="E23" s="10">
        <v>0.5</v>
      </c>
      <c r="F23" s="10">
        <v>0.88</v>
      </c>
      <c r="G23" s="11">
        <v>45.47</v>
      </c>
      <c r="H23" s="11">
        <v>62.66</v>
      </c>
      <c r="I23" s="11">
        <v>0</v>
      </c>
      <c r="J23" s="11">
        <v>0</v>
      </c>
      <c r="K23" s="15">
        <v>0.06</v>
      </c>
      <c r="L23" s="12">
        <v>75</v>
      </c>
      <c r="M23" s="12">
        <v>120</v>
      </c>
      <c r="N23" s="7" t="s">
        <v>200</v>
      </c>
      <c r="O23" s="7" t="s">
        <v>648</v>
      </c>
      <c r="P23" s="7" t="s">
        <v>278</v>
      </c>
      <c r="Q23" s="4"/>
    </row>
    <row r="24" spans="1:17" ht="30" customHeight="1">
      <c r="A24" s="4" t="s">
        <v>693</v>
      </c>
      <c r="B24" s="7" t="s">
        <v>698</v>
      </c>
      <c r="C24" s="4" t="s">
        <v>699</v>
      </c>
      <c r="D24" s="7" t="s">
        <v>647</v>
      </c>
      <c r="E24" s="10">
        <v>0.6</v>
      </c>
      <c r="F24" s="10">
        <v>0.88</v>
      </c>
      <c r="G24" s="11">
        <v>54.56</v>
      </c>
      <c r="H24" s="11">
        <v>75.19</v>
      </c>
      <c r="I24" s="11">
        <v>0</v>
      </c>
      <c r="J24" s="11">
        <v>0</v>
      </c>
      <c r="K24" s="15">
        <v>0.06</v>
      </c>
      <c r="L24" s="12">
        <v>85</v>
      </c>
      <c r="M24" s="12">
        <v>140</v>
      </c>
      <c r="N24" s="7" t="s">
        <v>200</v>
      </c>
      <c r="O24" s="7" t="s">
        <v>648</v>
      </c>
      <c r="P24" s="7" t="s">
        <v>278</v>
      </c>
      <c r="Q24" s="4"/>
    </row>
    <row r="25" spans="1:17" ht="30" customHeight="1">
      <c r="A25" s="4" t="s">
        <v>693</v>
      </c>
      <c r="B25" s="7" t="s">
        <v>700</v>
      </c>
      <c r="C25" s="4" t="s">
        <v>701</v>
      </c>
      <c r="D25" s="7" t="s">
        <v>647</v>
      </c>
      <c r="E25" s="10">
        <v>0.75</v>
      </c>
      <c r="F25" s="10">
        <v>0.88</v>
      </c>
      <c r="G25" s="11">
        <v>68.19</v>
      </c>
      <c r="H25" s="11">
        <v>93.98</v>
      </c>
      <c r="I25" s="11">
        <v>50</v>
      </c>
      <c r="J25" s="11">
        <v>0</v>
      </c>
      <c r="K25" s="15">
        <v>0.06</v>
      </c>
      <c r="L25" s="12">
        <v>120</v>
      </c>
      <c r="M25" s="12">
        <v>200</v>
      </c>
      <c r="N25" s="7" t="s">
        <v>200</v>
      </c>
      <c r="O25" s="7" t="s">
        <v>648</v>
      </c>
      <c r="P25" s="7" t="s">
        <v>278</v>
      </c>
      <c r="Q25" s="4" t="s">
        <v>702</v>
      </c>
    </row>
    <row r="26" spans="1:17" ht="30" customHeight="1">
      <c r="A26" s="4" t="s">
        <v>693</v>
      </c>
      <c r="B26" s="7" t="s">
        <v>703</v>
      </c>
      <c r="C26" s="4" t="s">
        <v>704</v>
      </c>
      <c r="D26" s="7" t="s">
        <v>682</v>
      </c>
      <c r="E26" s="10">
        <v>0.05</v>
      </c>
      <c r="F26" s="10">
        <v>0.91</v>
      </c>
      <c r="G26" s="11">
        <v>4.55</v>
      </c>
      <c r="H26" s="11">
        <v>1.3</v>
      </c>
      <c r="I26" s="11">
        <v>3.75</v>
      </c>
      <c r="J26" s="11">
        <v>0</v>
      </c>
      <c r="K26" s="15">
        <v>0.06</v>
      </c>
      <c r="L26" s="12">
        <v>4</v>
      </c>
      <c r="M26" s="12">
        <v>9</v>
      </c>
      <c r="N26" s="7" t="s">
        <v>648</v>
      </c>
      <c r="O26" s="7" t="s">
        <v>198</v>
      </c>
      <c r="P26" s="7" t="s">
        <v>280</v>
      </c>
      <c r="Q26" s="4" t="s">
        <v>705</v>
      </c>
    </row>
    <row r="27" spans="1:17" ht="30" customHeight="1">
      <c r="A27" s="4" t="s">
        <v>693</v>
      </c>
      <c r="B27" s="7" t="s">
        <v>706</v>
      </c>
      <c r="C27" s="4" t="s">
        <v>707</v>
      </c>
      <c r="D27" s="7" t="s">
        <v>682</v>
      </c>
      <c r="E27" s="10">
        <v>0.04</v>
      </c>
      <c r="F27" s="10">
        <v>0.91</v>
      </c>
      <c r="G27" s="11">
        <v>3.64</v>
      </c>
      <c r="H27" s="11">
        <v>1.04</v>
      </c>
      <c r="I27" s="11">
        <v>2.5</v>
      </c>
      <c r="J27" s="11">
        <v>0</v>
      </c>
      <c r="K27" s="15">
        <v>0.06</v>
      </c>
      <c r="L27" s="12">
        <v>3</v>
      </c>
      <c r="M27" s="12">
        <v>6</v>
      </c>
      <c r="N27" s="7" t="s">
        <v>648</v>
      </c>
      <c r="O27" s="7" t="s">
        <v>198</v>
      </c>
      <c r="P27" s="7" t="s">
        <v>280</v>
      </c>
      <c r="Q27" s="4"/>
    </row>
    <row r="28" spans="1:17" ht="30" customHeight="1">
      <c r="A28" s="4" t="s">
        <v>693</v>
      </c>
      <c r="B28" s="7" t="s">
        <v>708</v>
      </c>
      <c r="C28" s="4" t="s">
        <v>709</v>
      </c>
      <c r="D28" s="7" t="s">
        <v>710</v>
      </c>
      <c r="E28" s="10">
        <v>0.15</v>
      </c>
      <c r="F28" s="10">
        <v>0.91</v>
      </c>
      <c r="G28" s="11">
        <v>13.64</v>
      </c>
      <c r="H28" s="11">
        <v>3.9</v>
      </c>
      <c r="I28" s="11">
        <v>6.25</v>
      </c>
      <c r="J28" s="11">
        <v>0</v>
      </c>
      <c r="K28" s="15">
        <v>0.06</v>
      </c>
      <c r="L28" s="12">
        <v>18</v>
      </c>
      <c r="M28" s="12">
        <v>28</v>
      </c>
      <c r="N28" s="7" t="s">
        <v>200</v>
      </c>
      <c r="O28" s="7" t="s">
        <v>648</v>
      </c>
      <c r="P28" s="7" t="s">
        <v>272</v>
      </c>
      <c r="Q28" s="4"/>
    </row>
    <row r="29" spans="1:17" ht="30" customHeight="1">
      <c r="A29" s="4" t="s">
        <v>693</v>
      </c>
      <c r="B29" s="7" t="s">
        <v>711</v>
      </c>
      <c r="C29" s="4" t="s">
        <v>712</v>
      </c>
      <c r="D29" s="7" t="s">
        <v>710</v>
      </c>
      <c r="E29" s="10">
        <v>0.2</v>
      </c>
      <c r="F29" s="10">
        <v>0.91</v>
      </c>
      <c r="G29" s="11">
        <v>18.19</v>
      </c>
      <c r="H29" s="11">
        <v>5.2</v>
      </c>
      <c r="I29" s="11">
        <v>8</v>
      </c>
      <c r="J29" s="11">
        <v>0</v>
      </c>
      <c r="K29" s="15">
        <v>0.05</v>
      </c>
      <c r="L29" s="12">
        <v>22</v>
      </c>
      <c r="M29" s="12">
        <v>32</v>
      </c>
      <c r="N29" s="7" t="s">
        <v>200</v>
      </c>
      <c r="O29" s="7" t="s">
        <v>648</v>
      </c>
      <c r="P29" s="7" t="s">
        <v>272</v>
      </c>
      <c r="Q29" s="4" t="s">
        <v>713</v>
      </c>
    </row>
    <row r="30" spans="1:17" ht="30" customHeight="1">
      <c r="A30" s="4" t="s">
        <v>693</v>
      </c>
      <c r="B30" s="7" t="s">
        <v>714</v>
      </c>
      <c r="C30" s="4" t="s">
        <v>715</v>
      </c>
      <c r="D30" s="7" t="s">
        <v>716</v>
      </c>
      <c r="E30" s="10">
        <v>4</v>
      </c>
      <c r="F30" s="10">
        <v>0.85</v>
      </c>
      <c r="G30" s="11">
        <v>336</v>
      </c>
      <c r="H30" s="11">
        <v>48</v>
      </c>
      <c r="I30" s="11">
        <v>550</v>
      </c>
      <c r="J30" s="11">
        <v>0</v>
      </c>
      <c r="K30" s="15">
        <v>0.05</v>
      </c>
      <c r="L30" s="12">
        <v>1200</v>
      </c>
      <c r="M30" s="12">
        <v>1600</v>
      </c>
      <c r="N30" s="7" t="s">
        <v>200</v>
      </c>
      <c r="O30" s="7" t="s">
        <v>648</v>
      </c>
      <c r="P30" s="7" t="s">
        <v>280</v>
      </c>
      <c r="Q30" s="4" t="s">
        <v>717</v>
      </c>
    </row>
    <row r="31" spans="1:17" ht="30" customHeight="1">
      <c r="A31" s="4" t="s">
        <v>693</v>
      </c>
      <c r="B31" s="7" t="s">
        <v>718</v>
      </c>
      <c r="C31" s="4" t="s">
        <v>719</v>
      </c>
      <c r="D31" s="7" t="s">
        <v>716</v>
      </c>
      <c r="E31" s="10">
        <v>0</v>
      </c>
      <c r="F31" s="10">
        <v>0</v>
      </c>
      <c r="G31" s="11">
        <v>0</v>
      </c>
      <c r="H31" s="11">
        <v>0</v>
      </c>
      <c r="I31" s="11">
        <v>0</v>
      </c>
      <c r="J31" s="11">
        <v>7500</v>
      </c>
      <c r="K31" s="15">
        <v>0.05</v>
      </c>
      <c r="L31" s="12">
        <v>7500</v>
      </c>
      <c r="M31" s="12">
        <v>9500</v>
      </c>
      <c r="N31" s="7" t="s">
        <v>200</v>
      </c>
      <c r="O31" s="7" t="s">
        <v>648</v>
      </c>
      <c r="P31" s="7" t="s">
        <v>407</v>
      </c>
      <c r="Q31" s="4" t="s">
        <v>720</v>
      </c>
    </row>
    <row r="32" spans="1:17" ht="18" customHeight="1">
      <c r="A32" s="9" t="s">
        <v>721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30" customHeight="1">
      <c r="A33" s="4" t="s">
        <v>721</v>
      </c>
      <c r="B33" s="7" t="s">
        <v>722</v>
      </c>
      <c r="C33" s="4" t="s">
        <v>723</v>
      </c>
      <c r="D33" s="7" t="s">
        <v>682</v>
      </c>
      <c r="E33" s="10">
        <v>0.12</v>
      </c>
      <c r="F33" s="10">
        <v>0.91</v>
      </c>
      <c r="G33" s="11">
        <v>10.91</v>
      </c>
      <c r="H33" s="11">
        <v>15.04</v>
      </c>
      <c r="I33" s="11">
        <v>0</v>
      </c>
      <c r="J33" s="11">
        <v>0</v>
      </c>
      <c r="K33" s="15">
        <v>0.06</v>
      </c>
      <c r="L33" s="12">
        <v>14</v>
      </c>
      <c r="M33" s="12">
        <v>22</v>
      </c>
      <c r="N33" s="7" t="s">
        <v>198</v>
      </c>
      <c r="O33" s="7" t="s">
        <v>648</v>
      </c>
      <c r="P33" s="7" t="s">
        <v>276</v>
      </c>
      <c r="Q33" s="4" t="s">
        <v>724</v>
      </c>
    </row>
    <row r="34" spans="1:17" ht="30" customHeight="1">
      <c r="A34" s="4" t="s">
        <v>721</v>
      </c>
      <c r="B34" s="7" t="s">
        <v>725</v>
      </c>
      <c r="C34" s="4" t="s">
        <v>726</v>
      </c>
      <c r="D34" s="7" t="s">
        <v>682</v>
      </c>
      <c r="E34" s="10">
        <v>0.2</v>
      </c>
      <c r="F34" s="10">
        <v>0.91</v>
      </c>
      <c r="G34" s="11">
        <v>18.19</v>
      </c>
      <c r="H34" s="11">
        <v>25.07</v>
      </c>
      <c r="I34" s="11">
        <v>12</v>
      </c>
      <c r="J34" s="11">
        <v>0</v>
      </c>
      <c r="K34" s="15">
        <v>0.06</v>
      </c>
      <c r="L34" s="12">
        <v>32</v>
      </c>
      <c r="M34" s="12">
        <v>45</v>
      </c>
      <c r="N34" s="7" t="s">
        <v>200</v>
      </c>
      <c r="O34" s="7" t="s">
        <v>200</v>
      </c>
      <c r="P34" s="7" t="s">
        <v>276</v>
      </c>
      <c r="Q34" s="4"/>
    </row>
    <row r="35" spans="1:17" ht="30" customHeight="1">
      <c r="A35" s="4" t="s">
        <v>721</v>
      </c>
      <c r="B35" s="7" t="s">
        <v>727</v>
      </c>
      <c r="C35" s="4" t="s">
        <v>728</v>
      </c>
      <c r="D35" s="7" t="s">
        <v>682</v>
      </c>
      <c r="E35" s="10">
        <v>0.15</v>
      </c>
      <c r="F35" s="10">
        <v>0.91</v>
      </c>
      <c r="G35" s="11">
        <v>13.64</v>
      </c>
      <c r="H35" s="11">
        <v>18.8</v>
      </c>
      <c r="I35" s="11">
        <v>9</v>
      </c>
      <c r="J35" s="11">
        <v>0</v>
      </c>
      <c r="K35" s="15">
        <v>0.06</v>
      </c>
      <c r="L35" s="12">
        <v>22</v>
      </c>
      <c r="M35" s="12">
        <v>32</v>
      </c>
      <c r="N35" s="7" t="s">
        <v>200</v>
      </c>
      <c r="O35" s="7" t="s">
        <v>200</v>
      </c>
      <c r="P35" s="7" t="s">
        <v>276</v>
      </c>
      <c r="Q35" s="4"/>
    </row>
    <row r="36" spans="1:17" ht="30" customHeight="1">
      <c r="A36" s="4" t="s">
        <v>721</v>
      </c>
      <c r="B36" s="7" t="s">
        <v>729</v>
      </c>
      <c r="C36" s="4" t="s">
        <v>730</v>
      </c>
      <c r="D36" s="7" t="s">
        <v>682</v>
      </c>
      <c r="E36" s="10">
        <v>0.2</v>
      </c>
      <c r="F36" s="10">
        <v>0.91</v>
      </c>
      <c r="G36" s="11">
        <v>18.19</v>
      </c>
      <c r="H36" s="11">
        <v>25.07</v>
      </c>
      <c r="I36" s="11">
        <v>18</v>
      </c>
      <c r="J36" s="11">
        <v>0</v>
      </c>
      <c r="K36" s="15">
        <v>0.05</v>
      </c>
      <c r="L36" s="12">
        <v>45</v>
      </c>
      <c r="M36" s="12">
        <v>62</v>
      </c>
      <c r="N36" s="7" t="s">
        <v>200</v>
      </c>
      <c r="O36" s="7" t="s">
        <v>202</v>
      </c>
      <c r="P36" s="7" t="s">
        <v>276</v>
      </c>
      <c r="Q36" s="4" t="s">
        <v>731</v>
      </c>
    </row>
    <row r="37" spans="1:17" ht="30" customHeight="1">
      <c r="A37" s="4" t="s">
        <v>721</v>
      </c>
      <c r="B37" s="7" t="s">
        <v>732</v>
      </c>
      <c r="C37" s="4" t="s">
        <v>733</v>
      </c>
      <c r="D37" s="7" t="s">
        <v>682</v>
      </c>
      <c r="E37" s="10">
        <v>0.45</v>
      </c>
      <c r="F37" s="10">
        <v>0.91</v>
      </c>
      <c r="G37" s="11">
        <v>40.93</v>
      </c>
      <c r="H37" s="11">
        <v>56.42</v>
      </c>
      <c r="I37" s="11">
        <v>22</v>
      </c>
      <c r="J37" s="11">
        <v>0</v>
      </c>
      <c r="K37" s="15">
        <v>0.08</v>
      </c>
      <c r="L37" s="12">
        <v>50</v>
      </c>
      <c r="M37" s="12">
        <v>70</v>
      </c>
      <c r="N37" s="7" t="s">
        <v>198</v>
      </c>
      <c r="O37" s="7" t="s">
        <v>200</v>
      </c>
      <c r="P37" s="7" t="s">
        <v>276</v>
      </c>
      <c r="Q37" s="4" t="s">
        <v>734</v>
      </c>
    </row>
    <row r="38" spans="1:17" ht="30" customHeight="1">
      <c r="A38" s="4" t="s">
        <v>721</v>
      </c>
      <c r="B38" s="7" t="s">
        <v>735</v>
      </c>
      <c r="C38" s="4" t="s">
        <v>736</v>
      </c>
      <c r="D38" s="7" t="s">
        <v>682</v>
      </c>
      <c r="E38" s="10">
        <v>2.5</v>
      </c>
      <c r="F38" s="10">
        <v>0.9</v>
      </c>
      <c r="G38" s="11">
        <v>218.75</v>
      </c>
      <c r="H38" s="11">
        <v>54</v>
      </c>
      <c r="I38" s="11">
        <v>95</v>
      </c>
      <c r="J38" s="11">
        <v>0</v>
      </c>
      <c r="K38" s="15">
        <v>0.08</v>
      </c>
      <c r="L38" s="12">
        <v>185</v>
      </c>
      <c r="M38" s="12">
        <v>265</v>
      </c>
      <c r="N38" s="7" t="s">
        <v>198</v>
      </c>
      <c r="O38" s="7" t="s">
        <v>198</v>
      </c>
      <c r="P38" s="7" t="s">
        <v>282</v>
      </c>
      <c r="Q38" s="4" t="s">
        <v>737</v>
      </c>
    </row>
    <row r="39" spans="1:17" ht="30" customHeight="1">
      <c r="A39" s="4" t="s">
        <v>721</v>
      </c>
      <c r="B39" s="7" t="s">
        <v>738</v>
      </c>
      <c r="C39" s="4" t="s">
        <v>739</v>
      </c>
      <c r="D39" s="7" t="s">
        <v>682</v>
      </c>
      <c r="E39" s="10">
        <v>0.03</v>
      </c>
      <c r="F39" s="10">
        <v>0.91</v>
      </c>
      <c r="G39" s="11">
        <v>2.73</v>
      </c>
      <c r="H39" s="11">
        <v>0.78</v>
      </c>
      <c r="I39" s="11">
        <v>1.88</v>
      </c>
      <c r="J39" s="11">
        <v>0</v>
      </c>
      <c r="K39" s="15">
        <v>0.05</v>
      </c>
      <c r="L39" s="12">
        <v>3</v>
      </c>
      <c r="M39" s="12">
        <v>5</v>
      </c>
      <c r="N39" s="7" t="s">
        <v>200</v>
      </c>
      <c r="O39" s="7" t="s">
        <v>198</v>
      </c>
      <c r="P39" s="7" t="s">
        <v>280</v>
      </c>
      <c r="Q39" s="4" t="s">
        <v>740</v>
      </c>
    </row>
    <row r="40" spans="1:17" ht="30" customHeight="1">
      <c r="A40" s="4" t="s">
        <v>721</v>
      </c>
      <c r="B40" s="7" t="s">
        <v>741</v>
      </c>
      <c r="C40" s="4" t="s">
        <v>742</v>
      </c>
      <c r="D40" s="7" t="s">
        <v>710</v>
      </c>
      <c r="E40" s="10">
        <v>0.06</v>
      </c>
      <c r="F40" s="10">
        <v>0.91</v>
      </c>
      <c r="G40" s="11">
        <v>5.46</v>
      </c>
      <c r="H40" s="11">
        <v>7.52</v>
      </c>
      <c r="I40" s="11">
        <v>0</v>
      </c>
      <c r="J40" s="11">
        <v>0</v>
      </c>
      <c r="K40" s="15">
        <v>0.05</v>
      </c>
      <c r="L40" s="12">
        <v>5</v>
      </c>
      <c r="M40" s="12">
        <v>10</v>
      </c>
      <c r="N40" s="7" t="s">
        <v>200</v>
      </c>
      <c r="O40" s="7" t="s">
        <v>648</v>
      </c>
      <c r="P40" s="7" t="s">
        <v>272</v>
      </c>
      <c r="Q40" s="4" t="s">
        <v>743</v>
      </c>
    </row>
    <row r="41" spans="1:17" ht="18" customHeight="1">
      <c r="A41" s="9" t="s">
        <v>744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30" customHeight="1">
      <c r="A42" s="4" t="s">
        <v>744</v>
      </c>
      <c r="B42" s="7" t="s">
        <v>745</v>
      </c>
      <c r="C42" s="4" t="s">
        <v>746</v>
      </c>
      <c r="D42" s="7" t="s">
        <v>647</v>
      </c>
      <c r="E42" s="10">
        <v>0.11</v>
      </c>
      <c r="F42" s="10">
        <v>0.91</v>
      </c>
      <c r="G42" s="11">
        <v>10</v>
      </c>
      <c r="H42" s="11">
        <v>13.78</v>
      </c>
      <c r="I42" s="11">
        <v>0</v>
      </c>
      <c r="J42" s="11">
        <v>0</v>
      </c>
      <c r="K42" s="15">
        <v>0.06</v>
      </c>
      <c r="L42" s="12">
        <v>22</v>
      </c>
      <c r="M42" s="12">
        <v>32</v>
      </c>
      <c r="N42" s="7" t="s">
        <v>198</v>
      </c>
      <c r="O42" s="7" t="s">
        <v>648</v>
      </c>
      <c r="P42" s="7" t="s">
        <v>276</v>
      </c>
      <c r="Q42" s="4" t="s">
        <v>747</v>
      </c>
    </row>
    <row r="43" spans="1:17" ht="30" customHeight="1">
      <c r="A43" s="4" t="s">
        <v>744</v>
      </c>
      <c r="B43" s="7" t="s">
        <v>748</v>
      </c>
      <c r="C43" s="4" t="s">
        <v>749</v>
      </c>
      <c r="D43" s="7" t="s">
        <v>647</v>
      </c>
      <c r="E43" s="10">
        <v>0.08</v>
      </c>
      <c r="F43" s="10">
        <v>0.91</v>
      </c>
      <c r="G43" s="11">
        <v>7.28</v>
      </c>
      <c r="H43" s="11">
        <v>10.03</v>
      </c>
      <c r="I43" s="11">
        <v>0</v>
      </c>
      <c r="J43" s="11">
        <v>0</v>
      </c>
      <c r="K43" s="15">
        <v>0.06</v>
      </c>
      <c r="L43" s="12">
        <v>18</v>
      </c>
      <c r="M43" s="12">
        <v>28</v>
      </c>
      <c r="N43" s="7" t="s">
        <v>198</v>
      </c>
      <c r="O43" s="7" t="s">
        <v>648</v>
      </c>
      <c r="P43" s="7" t="s">
        <v>278</v>
      </c>
      <c r="Q43" s="4" t="s">
        <v>750</v>
      </c>
    </row>
    <row r="44" spans="1:17" ht="30" customHeight="1">
      <c r="A44" s="4" t="s">
        <v>744</v>
      </c>
      <c r="B44" s="7" t="s">
        <v>751</v>
      </c>
      <c r="C44" s="4" t="s">
        <v>752</v>
      </c>
      <c r="D44" s="7" t="s">
        <v>682</v>
      </c>
      <c r="E44" s="10">
        <v>0.2</v>
      </c>
      <c r="F44" s="10">
        <v>0.91</v>
      </c>
      <c r="G44" s="11">
        <v>18.19</v>
      </c>
      <c r="H44" s="11">
        <v>5.2</v>
      </c>
      <c r="I44" s="11">
        <v>20</v>
      </c>
      <c r="J44" s="11">
        <v>0</v>
      </c>
      <c r="K44" s="15">
        <v>0.05</v>
      </c>
      <c r="L44" s="12">
        <v>30</v>
      </c>
      <c r="M44" s="12">
        <v>48</v>
      </c>
      <c r="N44" s="7" t="s">
        <v>200</v>
      </c>
      <c r="O44" s="7" t="s">
        <v>200</v>
      </c>
      <c r="P44" s="7" t="s">
        <v>280</v>
      </c>
      <c r="Q44" s="4" t="s">
        <v>753</v>
      </c>
    </row>
    <row r="45" spans="1:17" ht="30" customHeight="1">
      <c r="A45" s="4" t="s">
        <v>744</v>
      </c>
      <c r="B45" s="7" t="s">
        <v>754</v>
      </c>
      <c r="C45" s="4" t="s">
        <v>755</v>
      </c>
      <c r="D45" s="7" t="s">
        <v>682</v>
      </c>
      <c r="E45" s="10">
        <v>0.18</v>
      </c>
      <c r="F45" s="10">
        <v>0.91</v>
      </c>
      <c r="G45" s="11">
        <v>16.37</v>
      </c>
      <c r="H45" s="11">
        <v>4.68</v>
      </c>
      <c r="I45" s="11">
        <v>14</v>
      </c>
      <c r="J45" s="11">
        <v>0</v>
      </c>
      <c r="K45" s="15">
        <v>0.05</v>
      </c>
      <c r="L45" s="12">
        <v>22</v>
      </c>
      <c r="M45" s="12">
        <v>34</v>
      </c>
      <c r="N45" s="7" t="s">
        <v>200</v>
      </c>
      <c r="O45" s="7" t="s">
        <v>200</v>
      </c>
      <c r="P45" s="7" t="s">
        <v>280</v>
      </c>
      <c r="Q45" s="4" t="s">
        <v>756</v>
      </c>
    </row>
    <row r="46" spans="1:17" ht="30" customHeight="1">
      <c r="A46" s="4" t="s">
        <v>744</v>
      </c>
      <c r="B46" s="7" t="s">
        <v>757</v>
      </c>
      <c r="C46" s="4" t="s">
        <v>758</v>
      </c>
      <c r="D46" s="7" t="s">
        <v>647</v>
      </c>
      <c r="E46" s="10">
        <v>0.45</v>
      </c>
      <c r="F46" s="10">
        <v>0.91</v>
      </c>
      <c r="G46" s="11">
        <v>40.93</v>
      </c>
      <c r="H46" s="11">
        <v>56.42</v>
      </c>
      <c r="I46" s="11">
        <v>62.5</v>
      </c>
      <c r="J46" s="11">
        <v>0</v>
      </c>
      <c r="K46" s="15">
        <v>0.06</v>
      </c>
      <c r="L46" s="12">
        <v>120</v>
      </c>
      <c r="M46" s="12">
        <v>175</v>
      </c>
      <c r="N46" s="7" t="s">
        <v>198</v>
      </c>
      <c r="O46" s="7" t="s">
        <v>648</v>
      </c>
      <c r="P46" s="7" t="s">
        <v>280</v>
      </c>
      <c r="Q46" s="4" t="s">
        <v>759</v>
      </c>
    </row>
    <row r="47" spans="1:17" ht="30" customHeight="1">
      <c r="A47" s="4" t="s">
        <v>744</v>
      </c>
      <c r="B47" s="7" t="s">
        <v>760</v>
      </c>
      <c r="C47" s="4" t="s">
        <v>761</v>
      </c>
      <c r="D47" s="7" t="s">
        <v>682</v>
      </c>
      <c r="E47" s="10">
        <v>0.08</v>
      </c>
      <c r="F47" s="10">
        <v>0.91</v>
      </c>
      <c r="G47" s="11">
        <v>7.28</v>
      </c>
      <c r="H47" s="11">
        <v>2.08</v>
      </c>
      <c r="I47" s="11">
        <v>8.75</v>
      </c>
      <c r="J47" s="11">
        <v>0</v>
      </c>
      <c r="K47" s="15">
        <v>0.05</v>
      </c>
      <c r="L47" s="12">
        <v>16</v>
      </c>
      <c r="M47" s="12">
        <v>24</v>
      </c>
      <c r="N47" s="7" t="s">
        <v>200</v>
      </c>
      <c r="O47" s="7" t="s">
        <v>200</v>
      </c>
      <c r="P47" s="7" t="s">
        <v>280</v>
      </c>
      <c r="Q47" s="4" t="s">
        <v>762</v>
      </c>
    </row>
    <row r="48" spans="1:17" ht="30" customHeight="1">
      <c r="A48" s="4" t="s">
        <v>744</v>
      </c>
      <c r="B48" s="7" t="s">
        <v>763</v>
      </c>
      <c r="C48" s="4" t="s">
        <v>764</v>
      </c>
      <c r="D48" s="7" t="s">
        <v>647</v>
      </c>
      <c r="E48" s="10">
        <v>0.22</v>
      </c>
      <c r="F48" s="10">
        <v>0.91</v>
      </c>
      <c r="G48" s="11">
        <v>20.01</v>
      </c>
      <c r="H48" s="11">
        <v>27.57</v>
      </c>
      <c r="I48" s="11">
        <v>0</v>
      </c>
      <c r="J48" s="11">
        <v>0</v>
      </c>
      <c r="K48" s="15">
        <v>0.06</v>
      </c>
      <c r="L48" s="12">
        <v>30</v>
      </c>
      <c r="M48" s="12">
        <v>45</v>
      </c>
      <c r="N48" s="7" t="s">
        <v>200</v>
      </c>
      <c r="O48" s="7" t="s">
        <v>648</v>
      </c>
      <c r="P48" s="7" t="s">
        <v>276</v>
      </c>
      <c r="Q48" s="4" t="s">
        <v>765</v>
      </c>
    </row>
    <row r="49" spans="1:17" ht="30" customHeight="1">
      <c r="A49" s="4" t="s">
        <v>744</v>
      </c>
      <c r="B49" s="7" t="s">
        <v>766</v>
      </c>
      <c r="C49" s="4" t="s">
        <v>767</v>
      </c>
      <c r="D49" s="7" t="s">
        <v>710</v>
      </c>
      <c r="E49" s="10">
        <v>1.2</v>
      </c>
      <c r="F49" s="10">
        <v>0.88</v>
      </c>
      <c r="G49" s="11">
        <v>109.13</v>
      </c>
      <c r="H49" s="11">
        <v>150.38</v>
      </c>
      <c r="I49" s="11">
        <v>35</v>
      </c>
      <c r="J49" s="11">
        <v>0</v>
      </c>
      <c r="K49" s="15">
        <v>0.06</v>
      </c>
      <c r="L49" s="12">
        <v>280</v>
      </c>
      <c r="M49" s="12">
        <v>420</v>
      </c>
      <c r="N49" s="7" t="s">
        <v>198</v>
      </c>
      <c r="O49" s="7" t="s">
        <v>200</v>
      </c>
      <c r="P49" s="7" t="s">
        <v>278</v>
      </c>
      <c r="Q49" s="4" t="s">
        <v>768</v>
      </c>
    </row>
    <row r="50" spans="1:17" ht="18" customHeight="1">
      <c r="A50" s="9" t="s">
        <v>769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30" customHeight="1">
      <c r="A51" s="4" t="s">
        <v>769</v>
      </c>
      <c r="B51" s="7" t="s">
        <v>770</v>
      </c>
      <c r="C51" s="4" t="s">
        <v>771</v>
      </c>
      <c r="D51" s="7" t="s">
        <v>710</v>
      </c>
      <c r="E51" s="10">
        <v>2</v>
      </c>
      <c r="F51" s="10">
        <v>0.91</v>
      </c>
      <c r="G51" s="11">
        <v>181.88</v>
      </c>
      <c r="H51" s="11">
        <v>51.98</v>
      </c>
      <c r="I51" s="11">
        <v>368.75</v>
      </c>
      <c r="J51" s="11">
        <v>0</v>
      </c>
      <c r="K51" s="15">
        <v>0.08</v>
      </c>
      <c r="L51" s="12">
        <v>580</v>
      </c>
      <c r="M51" s="12">
        <v>750</v>
      </c>
      <c r="N51" s="7" t="s">
        <v>200</v>
      </c>
      <c r="O51" s="7" t="s">
        <v>648</v>
      </c>
      <c r="P51" s="7" t="s">
        <v>280</v>
      </c>
      <c r="Q51" s="4"/>
    </row>
    <row r="52" spans="1:17" ht="30" customHeight="1">
      <c r="A52" s="4" t="s">
        <v>769</v>
      </c>
      <c r="B52" s="7" t="s">
        <v>772</v>
      </c>
      <c r="C52" s="4" t="s">
        <v>773</v>
      </c>
      <c r="D52" s="7" t="s">
        <v>710</v>
      </c>
      <c r="E52" s="10">
        <v>2.5</v>
      </c>
      <c r="F52" s="10">
        <v>0.91</v>
      </c>
      <c r="G52" s="11">
        <v>227.35</v>
      </c>
      <c r="H52" s="11">
        <v>64.97</v>
      </c>
      <c r="I52" s="11">
        <v>437.5</v>
      </c>
      <c r="J52" s="11">
        <v>0</v>
      </c>
      <c r="K52" s="15">
        <v>0.08</v>
      </c>
      <c r="L52" s="12">
        <v>680</v>
      </c>
      <c r="M52" s="12">
        <v>880</v>
      </c>
      <c r="N52" s="7" t="s">
        <v>200</v>
      </c>
      <c r="O52" s="7" t="s">
        <v>648</v>
      </c>
      <c r="P52" s="7" t="s">
        <v>280</v>
      </c>
      <c r="Q52" s="4"/>
    </row>
    <row r="53" spans="1:17" ht="30" customHeight="1">
      <c r="A53" s="4" t="s">
        <v>769</v>
      </c>
      <c r="B53" s="7" t="s">
        <v>774</v>
      </c>
      <c r="C53" s="4" t="s">
        <v>775</v>
      </c>
      <c r="D53" s="7" t="s">
        <v>710</v>
      </c>
      <c r="E53" s="10">
        <v>3</v>
      </c>
      <c r="F53" s="10">
        <v>0.91</v>
      </c>
      <c r="G53" s="11">
        <v>272.82</v>
      </c>
      <c r="H53" s="11">
        <v>77.97</v>
      </c>
      <c r="I53" s="11">
        <v>537.5</v>
      </c>
      <c r="J53" s="11">
        <v>0</v>
      </c>
      <c r="K53" s="15">
        <v>0.08</v>
      </c>
      <c r="L53" s="12">
        <v>800</v>
      </c>
      <c r="M53" s="12">
        <v>1020</v>
      </c>
      <c r="N53" s="7" t="s">
        <v>200</v>
      </c>
      <c r="O53" s="7" t="s">
        <v>648</v>
      </c>
      <c r="P53" s="7" t="s">
        <v>280</v>
      </c>
      <c r="Q53" s="4"/>
    </row>
    <row r="54" spans="1:17" ht="30" customHeight="1">
      <c r="A54" s="4" t="s">
        <v>769</v>
      </c>
      <c r="B54" s="7" t="s">
        <v>776</v>
      </c>
      <c r="C54" s="4" t="s">
        <v>777</v>
      </c>
      <c r="D54" s="7" t="s">
        <v>710</v>
      </c>
      <c r="E54" s="10">
        <v>3.5</v>
      </c>
      <c r="F54" s="10">
        <v>0.91</v>
      </c>
      <c r="G54" s="11">
        <v>318.28</v>
      </c>
      <c r="H54" s="11">
        <v>90.95999999999999</v>
      </c>
      <c r="I54" s="11">
        <v>787.5</v>
      </c>
      <c r="J54" s="11">
        <v>0</v>
      </c>
      <c r="K54" s="15">
        <v>0.08</v>
      </c>
      <c r="L54" s="12">
        <v>1100</v>
      </c>
      <c r="M54" s="12">
        <v>1400</v>
      </c>
      <c r="N54" s="7" t="s">
        <v>200</v>
      </c>
      <c r="O54" s="7" t="s">
        <v>648</v>
      </c>
      <c r="P54" s="7" t="s">
        <v>280</v>
      </c>
      <c r="Q54" s="4"/>
    </row>
    <row r="55" spans="1:17" ht="30" customHeight="1">
      <c r="A55" s="4" t="s">
        <v>769</v>
      </c>
      <c r="B55" s="7" t="s">
        <v>778</v>
      </c>
      <c r="C55" s="4" t="s">
        <v>779</v>
      </c>
      <c r="D55" s="7" t="s">
        <v>716</v>
      </c>
      <c r="E55" s="10">
        <v>8</v>
      </c>
      <c r="F55" s="10">
        <v>0.85</v>
      </c>
      <c r="G55" s="11">
        <v>672</v>
      </c>
      <c r="H55" s="11">
        <v>192</v>
      </c>
      <c r="I55" s="11">
        <v>2750</v>
      </c>
      <c r="J55" s="11">
        <v>0</v>
      </c>
      <c r="K55" s="15">
        <v>0.08</v>
      </c>
      <c r="L55" s="12">
        <v>2500</v>
      </c>
      <c r="M55" s="12">
        <v>3200</v>
      </c>
      <c r="N55" s="7" t="s">
        <v>200</v>
      </c>
      <c r="O55" s="7" t="s">
        <v>648</v>
      </c>
      <c r="P55" s="7" t="s">
        <v>280</v>
      </c>
      <c r="Q55" s="4" t="s">
        <v>780</v>
      </c>
    </row>
    <row r="56" spans="1:17" ht="30" customHeight="1">
      <c r="A56" s="4" t="s">
        <v>769</v>
      </c>
      <c r="B56" s="7" t="s">
        <v>781</v>
      </c>
      <c r="C56" s="4" t="s">
        <v>782</v>
      </c>
      <c r="D56" s="7" t="s">
        <v>716</v>
      </c>
      <c r="E56" s="10">
        <v>8</v>
      </c>
      <c r="F56" s="10">
        <v>0.85</v>
      </c>
      <c r="G56" s="11">
        <v>672</v>
      </c>
      <c r="H56" s="11">
        <v>192</v>
      </c>
      <c r="I56" s="11">
        <v>11375</v>
      </c>
      <c r="J56" s="11">
        <v>0</v>
      </c>
      <c r="K56" s="15">
        <v>0.08</v>
      </c>
      <c r="L56" s="12">
        <v>10500</v>
      </c>
      <c r="M56" s="12">
        <v>13000</v>
      </c>
      <c r="N56" s="7" t="s">
        <v>200</v>
      </c>
      <c r="O56" s="7" t="s">
        <v>648</v>
      </c>
      <c r="P56" s="7" t="s">
        <v>280</v>
      </c>
      <c r="Q56" s="4"/>
    </row>
    <row r="57" spans="1:17" ht="30" customHeight="1">
      <c r="A57" s="4" t="s">
        <v>769</v>
      </c>
      <c r="B57" s="7" t="s">
        <v>783</v>
      </c>
      <c r="C57" s="4" t="s">
        <v>784</v>
      </c>
      <c r="D57" s="7" t="s">
        <v>716</v>
      </c>
      <c r="E57" s="10">
        <v>8</v>
      </c>
      <c r="F57" s="10">
        <v>0.85</v>
      </c>
      <c r="G57" s="11">
        <v>672</v>
      </c>
      <c r="H57" s="11">
        <v>192</v>
      </c>
      <c r="I57" s="11">
        <v>15750</v>
      </c>
      <c r="J57" s="11">
        <v>0</v>
      </c>
      <c r="K57" s="15">
        <v>0.08</v>
      </c>
      <c r="L57" s="12">
        <v>14000</v>
      </c>
      <c r="M57" s="12">
        <v>17500</v>
      </c>
      <c r="N57" s="7" t="s">
        <v>200</v>
      </c>
      <c r="O57" s="7" t="s">
        <v>648</v>
      </c>
      <c r="P57" s="7" t="s">
        <v>280</v>
      </c>
      <c r="Q57" s="4"/>
    </row>
    <row r="58" spans="1:17" ht="30" customHeight="1">
      <c r="A58" s="4" t="s">
        <v>769</v>
      </c>
      <c r="B58" s="7" t="s">
        <v>785</v>
      </c>
      <c r="C58" s="4" t="s">
        <v>786</v>
      </c>
      <c r="D58" s="7" t="s">
        <v>716</v>
      </c>
      <c r="E58" s="10">
        <v>8</v>
      </c>
      <c r="F58" s="10">
        <v>0.85</v>
      </c>
      <c r="G58" s="11">
        <v>672</v>
      </c>
      <c r="H58" s="11">
        <v>192</v>
      </c>
      <c r="I58" s="11">
        <v>9500</v>
      </c>
      <c r="J58" s="11">
        <v>0</v>
      </c>
      <c r="K58" s="15">
        <v>0.08</v>
      </c>
      <c r="L58" s="12">
        <v>8500</v>
      </c>
      <c r="M58" s="12">
        <v>10500</v>
      </c>
      <c r="N58" s="7" t="s">
        <v>200</v>
      </c>
      <c r="O58" s="7" t="s">
        <v>648</v>
      </c>
      <c r="P58" s="7" t="s">
        <v>280</v>
      </c>
      <c r="Q58" s="4"/>
    </row>
    <row r="59" spans="1:17" ht="30" customHeight="1">
      <c r="A59" s="4" t="s">
        <v>769</v>
      </c>
      <c r="B59" s="7" t="s">
        <v>787</v>
      </c>
      <c r="C59" s="4" t="s">
        <v>788</v>
      </c>
      <c r="D59" s="7" t="s">
        <v>710</v>
      </c>
      <c r="E59" s="10">
        <v>1.5</v>
      </c>
      <c r="F59" s="10">
        <v>0.91</v>
      </c>
      <c r="G59" s="11">
        <v>136.41</v>
      </c>
      <c r="H59" s="11">
        <v>38.98</v>
      </c>
      <c r="I59" s="11">
        <v>68.75</v>
      </c>
      <c r="J59" s="11">
        <v>0</v>
      </c>
      <c r="K59" s="15">
        <v>0.08</v>
      </c>
      <c r="L59" s="12">
        <v>310</v>
      </c>
      <c r="M59" s="12">
        <v>400</v>
      </c>
      <c r="N59" s="7" t="s">
        <v>200</v>
      </c>
      <c r="O59" s="7" t="s">
        <v>648</v>
      </c>
      <c r="P59" s="7" t="s">
        <v>280</v>
      </c>
      <c r="Q59" s="4" t="s">
        <v>789</v>
      </c>
    </row>
    <row r="60" spans="1:17" ht="30" customHeight="1">
      <c r="A60" s="4" t="s">
        <v>769</v>
      </c>
      <c r="B60" s="7" t="s">
        <v>790</v>
      </c>
      <c r="C60" s="4" t="s">
        <v>791</v>
      </c>
      <c r="D60" s="7" t="s">
        <v>710</v>
      </c>
      <c r="E60" s="10">
        <v>1.2</v>
      </c>
      <c r="F60" s="10">
        <v>0.91</v>
      </c>
      <c r="G60" s="11">
        <v>109.13</v>
      </c>
      <c r="H60" s="11">
        <v>31.18</v>
      </c>
      <c r="I60" s="11">
        <v>275</v>
      </c>
      <c r="J60" s="11">
        <v>0</v>
      </c>
      <c r="K60" s="15">
        <v>0.08</v>
      </c>
      <c r="L60" s="12">
        <v>250</v>
      </c>
      <c r="M60" s="12">
        <v>330</v>
      </c>
      <c r="N60" s="7" t="s">
        <v>200</v>
      </c>
      <c r="O60" s="7" t="s">
        <v>648</v>
      </c>
      <c r="P60" s="7" t="s">
        <v>280</v>
      </c>
      <c r="Q60" s="4" t="s">
        <v>792</v>
      </c>
    </row>
    <row r="61" spans="1:17" ht="30" customHeight="1">
      <c r="A61" s="4" t="s">
        <v>769</v>
      </c>
      <c r="B61" s="7" t="s">
        <v>793</v>
      </c>
      <c r="C61" s="4" t="s">
        <v>794</v>
      </c>
      <c r="D61" s="7" t="s">
        <v>710</v>
      </c>
      <c r="E61" s="10">
        <v>1.5</v>
      </c>
      <c r="F61" s="10">
        <v>0.91</v>
      </c>
      <c r="G61" s="11">
        <v>136.41</v>
      </c>
      <c r="H61" s="11">
        <v>38.98</v>
      </c>
      <c r="I61" s="11">
        <v>330</v>
      </c>
      <c r="J61" s="11">
        <v>0</v>
      </c>
      <c r="K61" s="15">
        <v>0.08</v>
      </c>
      <c r="L61" s="12">
        <v>295</v>
      </c>
      <c r="M61" s="12">
        <v>380</v>
      </c>
      <c r="N61" s="7" t="s">
        <v>200</v>
      </c>
      <c r="O61" s="7" t="s">
        <v>648</v>
      </c>
      <c r="P61" s="7" t="s">
        <v>280</v>
      </c>
      <c r="Q61" s="4"/>
    </row>
    <row r="62" spans="1:17" ht="30" customHeight="1">
      <c r="A62" s="4" t="s">
        <v>769</v>
      </c>
      <c r="B62" s="7" t="s">
        <v>795</v>
      </c>
      <c r="C62" s="4" t="s">
        <v>796</v>
      </c>
      <c r="D62" s="7" t="s">
        <v>710</v>
      </c>
      <c r="E62" s="10">
        <v>2</v>
      </c>
      <c r="F62" s="10">
        <v>0.91</v>
      </c>
      <c r="G62" s="11">
        <v>181.88</v>
      </c>
      <c r="H62" s="11">
        <v>51.98</v>
      </c>
      <c r="I62" s="11">
        <v>297.5</v>
      </c>
      <c r="J62" s="11">
        <v>0</v>
      </c>
      <c r="K62" s="15">
        <v>0.08</v>
      </c>
      <c r="L62" s="12">
        <v>280</v>
      </c>
      <c r="M62" s="12">
        <v>370</v>
      </c>
      <c r="N62" s="7" t="s">
        <v>200</v>
      </c>
      <c r="O62" s="7" t="s">
        <v>648</v>
      </c>
      <c r="P62" s="7" t="s">
        <v>280</v>
      </c>
      <c r="Q62" s="4"/>
    </row>
    <row r="63" spans="1:17" ht="30" customHeight="1">
      <c r="A63" s="4" t="s">
        <v>769</v>
      </c>
      <c r="B63" s="7" t="s">
        <v>797</v>
      </c>
      <c r="C63" s="4" t="s">
        <v>798</v>
      </c>
      <c r="D63" s="7" t="s">
        <v>710</v>
      </c>
      <c r="E63" s="10">
        <v>4</v>
      </c>
      <c r="F63" s="10">
        <v>0.88</v>
      </c>
      <c r="G63" s="11">
        <v>363.75</v>
      </c>
      <c r="H63" s="11">
        <v>501.25</v>
      </c>
      <c r="I63" s="11">
        <v>1137.5</v>
      </c>
      <c r="J63" s="11">
        <v>0</v>
      </c>
      <c r="K63" s="15">
        <v>0.08</v>
      </c>
      <c r="L63" s="12">
        <v>1500</v>
      </c>
      <c r="M63" s="12">
        <v>1900</v>
      </c>
      <c r="N63" s="7" t="s">
        <v>200</v>
      </c>
      <c r="O63" s="7" t="s">
        <v>648</v>
      </c>
      <c r="P63" s="7" t="s">
        <v>280</v>
      </c>
      <c r="Q63" s="4" t="s">
        <v>799</v>
      </c>
    </row>
    <row r="64" spans="1:17" ht="30" customHeight="1">
      <c r="A64" s="4" t="s">
        <v>769</v>
      </c>
      <c r="B64" s="7" t="s">
        <v>800</v>
      </c>
      <c r="C64" s="4" t="s">
        <v>801</v>
      </c>
      <c r="D64" s="7" t="s">
        <v>710</v>
      </c>
      <c r="E64" s="10">
        <v>1.8</v>
      </c>
      <c r="F64" s="10">
        <v>0.91</v>
      </c>
      <c r="G64" s="11">
        <v>163.69</v>
      </c>
      <c r="H64" s="11">
        <v>46.78</v>
      </c>
      <c r="I64" s="11">
        <v>312.5</v>
      </c>
      <c r="J64" s="11">
        <v>0</v>
      </c>
      <c r="K64" s="15">
        <v>0.08</v>
      </c>
      <c r="L64" s="12">
        <v>400</v>
      </c>
      <c r="M64" s="12">
        <v>520</v>
      </c>
      <c r="N64" s="7" t="s">
        <v>200</v>
      </c>
      <c r="O64" s="7" t="s">
        <v>648</v>
      </c>
      <c r="P64" s="7" t="s">
        <v>280</v>
      </c>
      <c r="Q64" s="4"/>
    </row>
    <row r="65" spans="1:17" ht="30" customHeight="1">
      <c r="A65" s="4" t="s">
        <v>769</v>
      </c>
      <c r="B65" s="7" t="s">
        <v>802</v>
      </c>
      <c r="C65" s="4" t="s">
        <v>803</v>
      </c>
      <c r="D65" s="7" t="s">
        <v>647</v>
      </c>
      <c r="E65" s="10">
        <v>0.4</v>
      </c>
      <c r="F65" s="10">
        <v>0.91</v>
      </c>
      <c r="G65" s="11">
        <v>36.38</v>
      </c>
      <c r="H65" s="11">
        <v>50.13</v>
      </c>
      <c r="I65" s="11">
        <v>75</v>
      </c>
      <c r="J65" s="11">
        <v>0</v>
      </c>
      <c r="K65" s="15">
        <v>0.06</v>
      </c>
      <c r="L65" s="12">
        <v>135</v>
      </c>
      <c r="M65" s="12">
        <v>175</v>
      </c>
      <c r="N65" s="7" t="s">
        <v>200</v>
      </c>
      <c r="O65" s="7" t="s">
        <v>648</v>
      </c>
      <c r="P65" s="7" t="s">
        <v>280</v>
      </c>
      <c r="Q65" s="4" t="s">
        <v>804</v>
      </c>
    </row>
    <row r="66" spans="1:17" ht="18" customHeight="1">
      <c r="A66" s="9" t="s">
        <v>805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30" customHeight="1">
      <c r="A67" s="4" t="s">
        <v>805</v>
      </c>
      <c r="B67" s="7" t="s">
        <v>806</v>
      </c>
      <c r="C67" s="4" t="s">
        <v>807</v>
      </c>
      <c r="D67" s="7" t="s">
        <v>647</v>
      </c>
      <c r="E67" s="10">
        <v>14.57</v>
      </c>
      <c r="F67" s="10">
        <v>0.9</v>
      </c>
      <c r="G67" s="11">
        <v>1310.63</v>
      </c>
      <c r="H67" s="11">
        <v>409.78</v>
      </c>
      <c r="I67" s="11">
        <v>854.03</v>
      </c>
      <c r="J67" s="11">
        <v>0</v>
      </c>
      <c r="K67" s="15">
        <v>0.06</v>
      </c>
      <c r="L67" s="12">
        <v>2500</v>
      </c>
      <c r="M67" s="12">
        <v>3200</v>
      </c>
      <c r="N67" s="7" t="s">
        <v>198</v>
      </c>
      <c r="O67" s="7" t="s">
        <v>198</v>
      </c>
      <c r="P67" s="7" t="s">
        <v>282</v>
      </c>
      <c r="Q67" s="4"/>
    </row>
    <row r="68" spans="1:17" ht="30" customHeight="1">
      <c r="A68" s="4" t="s">
        <v>805</v>
      </c>
      <c r="B68" s="7" t="s">
        <v>808</v>
      </c>
      <c r="C68" s="4" t="s">
        <v>809</v>
      </c>
      <c r="D68" s="7" t="s">
        <v>647</v>
      </c>
      <c r="E68" s="10">
        <v>25.49</v>
      </c>
      <c r="F68" s="10">
        <v>0.9</v>
      </c>
      <c r="G68" s="11">
        <v>2294.1</v>
      </c>
      <c r="H68" s="11">
        <v>726.28</v>
      </c>
      <c r="I68" s="11">
        <v>639.59</v>
      </c>
      <c r="J68" s="11">
        <v>0</v>
      </c>
      <c r="K68" s="15">
        <v>0.06</v>
      </c>
      <c r="L68" s="12">
        <v>3600</v>
      </c>
      <c r="M68" s="12">
        <v>4500</v>
      </c>
      <c r="N68" s="7" t="s">
        <v>198</v>
      </c>
      <c r="O68" s="7" t="s">
        <v>198</v>
      </c>
      <c r="P68" s="7" t="s">
        <v>282</v>
      </c>
      <c r="Q68" s="4"/>
    </row>
    <row r="69" spans="1:17" ht="30" customHeight="1">
      <c r="A69" s="4" t="s">
        <v>805</v>
      </c>
      <c r="B69" s="7" t="s">
        <v>810</v>
      </c>
      <c r="C69" s="4" t="s">
        <v>811</v>
      </c>
      <c r="D69" s="7" t="s">
        <v>647</v>
      </c>
      <c r="E69" s="10">
        <v>14.77</v>
      </c>
      <c r="F69" s="10">
        <v>0.9</v>
      </c>
      <c r="G69" s="11">
        <v>1329.63</v>
      </c>
      <c r="H69" s="11">
        <v>409.78</v>
      </c>
      <c r="I69" s="11">
        <v>666.74</v>
      </c>
      <c r="J69" s="11">
        <v>0</v>
      </c>
      <c r="K69" s="15">
        <v>0.06</v>
      </c>
      <c r="L69" s="12">
        <v>2400</v>
      </c>
      <c r="M69" s="12">
        <v>3000</v>
      </c>
      <c r="N69" s="7" t="s">
        <v>198</v>
      </c>
      <c r="O69" s="7" t="s">
        <v>198</v>
      </c>
      <c r="P69" s="7" t="s">
        <v>282</v>
      </c>
      <c r="Q69" s="4"/>
    </row>
    <row r="70" spans="1:17" ht="30" customHeight="1">
      <c r="A70" s="4" t="s">
        <v>805</v>
      </c>
      <c r="B70" s="7" t="s">
        <v>812</v>
      </c>
      <c r="C70" s="4" t="s">
        <v>813</v>
      </c>
      <c r="D70" s="7" t="s">
        <v>682</v>
      </c>
      <c r="E70" s="10">
        <v>0.8</v>
      </c>
      <c r="F70" s="10">
        <v>0.9</v>
      </c>
      <c r="G70" s="11">
        <v>72</v>
      </c>
      <c r="H70" s="11">
        <v>18.72</v>
      </c>
      <c r="I70" s="11">
        <v>25</v>
      </c>
      <c r="J70" s="11">
        <v>0</v>
      </c>
      <c r="K70" s="15">
        <v>0.06</v>
      </c>
      <c r="L70" s="12">
        <v>90</v>
      </c>
      <c r="M70" s="12">
        <v>140</v>
      </c>
      <c r="N70" s="7" t="s">
        <v>200</v>
      </c>
      <c r="O70" s="7" t="s">
        <v>200</v>
      </c>
      <c r="P70" s="7" t="s">
        <v>282</v>
      </c>
      <c r="Q70" s="4" t="s">
        <v>814</v>
      </c>
    </row>
    <row r="71" spans="1:17" ht="30" customHeight="1">
      <c r="A71" s="4" t="s">
        <v>805</v>
      </c>
      <c r="B71" s="7" t="s">
        <v>815</v>
      </c>
      <c r="C71" s="4" t="s">
        <v>816</v>
      </c>
      <c r="D71" s="7" t="s">
        <v>817</v>
      </c>
      <c r="E71" s="10">
        <v>20</v>
      </c>
      <c r="F71" s="10">
        <v>0.9</v>
      </c>
      <c r="G71" s="11">
        <v>1800</v>
      </c>
      <c r="H71" s="11">
        <v>500</v>
      </c>
      <c r="I71" s="11">
        <v>2000</v>
      </c>
      <c r="J71" s="11">
        <v>0</v>
      </c>
      <c r="K71" s="15">
        <v>0.06</v>
      </c>
      <c r="L71" s="12">
        <v>4000</v>
      </c>
      <c r="M71" s="12">
        <v>6000</v>
      </c>
      <c r="N71" s="7" t="s">
        <v>648</v>
      </c>
      <c r="O71" s="7" t="s">
        <v>200</v>
      </c>
      <c r="P71" s="7" t="s">
        <v>284</v>
      </c>
      <c r="Q71" s="4" t="s">
        <v>818</v>
      </c>
    </row>
    <row r="72" spans="1:17" ht="18" customHeight="1">
      <c r="A72" s="9" t="s">
        <v>819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30" customHeight="1">
      <c r="A73" s="4" t="s">
        <v>819</v>
      </c>
      <c r="B73" s="7" t="s">
        <v>820</v>
      </c>
      <c r="C73" s="4" t="s">
        <v>821</v>
      </c>
      <c r="D73" s="7" t="s">
        <v>817</v>
      </c>
      <c r="E73" s="10">
        <v>28</v>
      </c>
      <c r="F73" s="10">
        <v>0.9</v>
      </c>
      <c r="G73" s="11">
        <v>2561.2</v>
      </c>
      <c r="H73" s="11">
        <v>621.6</v>
      </c>
      <c r="I73" s="11">
        <v>4500</v>
      </c>
      <c r="J73" s="11">
        <v>0</v>
      </c>
      <c r="K73" s="15">
        <v>0.06</v>
      </c>
      <c r="L73" s="12">
        <v>8000</v>
      </c>
      <c r="M73" s="12">
        <v>9000</v>
      </c>
      <c r="N73" s="7" t="s">
        <v>648</v>
      </c>
      <c r="O73" s="7" t="s">
        <v>648</v>
      </c>
      <c r="P73" s="7" t="s">
        <v>284</v>
      </c>
      <c r="Q73" s="4"/>
    </row>
    <row r="74" spans="1:17" ht="30" customHeight="1">
      <c r="A74" s="4" t="s">
        <v>819</v>
      </c>
      <c r="B74" s="7" t="s">
        <v>822</v>
      </c>
      <c r="C74" s="4" t="s">
        <v>823</v>
      </c>
      <c r="D74" s="7" t="s">
        <v>817</v>
      </c>
      <c r="E74" s="10">
        <v>22</v>
      </c>
      <c r="F74" s="10">
        <v>0.9</v>
      </c>
      <c r="G74" s="11">
        <v>2012</v>
      </c>
      <c r="H74" s="11">
        <v>488.4</v>
      </c>
      <c r="I74" s="11">
        <v>4250</v>
      </c>
      <c r="J74" s="11">
        <v>0</v>
      </c>
      <c r="K74" s="15">
        <v>0.06</v>
      </c>
      <c r="L74" s="12">
        <v>7500</v>
      </c>
      <c r="M74" s="12">
        <v>8500</v>
      </c>
      <c r="N74" s="7" t="s">
        <v>648</v>
      </c>
      <c r="O74" s="7" t="s">
        <v>648</v>
      </c>
      <c r="P74" s="7" t="s">
        <v>284</v>
      </c>
      <c r="Q74" s="4"/>
    </row>
    <row r="75" spans="1:17" ht="30" customHeight="1">
      <c r="A75" s="4" t="s">
        <v>819</v>
      </c>
      <c r="B75" s="7" t="s">
        <v>824</v>
      </c>
      <c r="C75" s="4" t="s">
        <v>825</v>
      </c>
      <c r="D75" s="7" t="s">
        <v>817</v>
      </c>
      <c r="E75" s="10">
        <v>24</v>
      </c>
      <c r="F75" s="10">
        <v>0.9</v>
      </c>
      <c r="G75" s="11">
        <v>2194.4</v>
      </c>
      <c r="H75" s="11">
        <v>532.8</v>
      </c>
      <c r="I75" s="11">
        <v>4500</v>
      </c>
      <c r="J75" s="11">
        <v>0</v>
      </c>
      <c r="K75" s="15">
        <v>0.06</v>
      </c>
      <c r="L75" s="12">
        <v>8000</v>
      </c>
      <c r="M75" s="12">
        <v>9000</v>
      </c>
      <c r="N75" s="7" t="s">
        <v>648</v>
      </c>
      <c r="O75" s="7" t="s">
        <v>648</v>
      </c>
      <c r="P75" s="7" t="s">
        <v>284</v>
      </c>
      <c r="Q75" s="4"/>
    </row>
    <row r="76" spans="1:17" ht="30" customHeight="1">
      <c r="A76" s="4" t="s">
        <v>819</v>
      </c>
      <c r="B76" s="7" t="s">
        <v>826</v>
      </c>
      <c r="C76" s="4" t="s">
        <v>827</v>
      </c>
      <c r="D76" s="7" t="s">
        <v>682</v>
      </c>
      <c r="E76" s="10">
        <v>3.5</v>
      </c>
      <c r="F76" s="10">
        <v>0.9</v>
      </c>
      <c r="G76" s="11">
        <v>322.5</v>
      </c>
      <c r="H76" s="11">
        <v>77.7</v>
      </c>
      <c r="I76" s="11">
        <v>275</v>
      </c>
      <c r="J76" s="11">
        <v>0</v>
      </c>
      <c r="K76" s="15">
        <v>0.06</v>
      </c>
      <c r="L76" s="12">
        <v>660</v>
      </c>
      <c r="M76" s="12">
        <v>750</v>
      </c>
      <c r="N76" s="7" t="s">
        <v>648</v>
      </c>
      <c r="O76" s="7" t="s">
        <v>648</v>
      </c>
      <c r="P76" s="7" t="s">
        <v>284</v>
      </c>
      <c r="Q76" s="4"/>
    </row>
    <row r="77" spans="1:17" ht="30" customHeight="1">
      <c r="A77" s="4" t="s">
        <v>819</v>
      </c>
      <c r="B77" s="7" t="s">
        <v>828</v>
      </c>
      <c r="C77" s="4" t="s">
        <v>829</v>
      </c>
      <c r="D77" s="7" t="s">
        <v>710</v>
      </c>
      <c r="E77" s="10">
        <v>4</v>
      </c>
      <c r="F77" s="10">
        <v>0.9</v>
      </c>
      <c r="G77" s="11">
        <v>369</v>
      </c>
      <c r="H77" s="11">
        <v>88.8</v>
      </c>
      <c r="I77" s="11">
        <v>175</v>
      </c>
      <c r="J77" s="11">
        <v>0</v>
      </c>
      <c r="K77" s="15">
        <v>0.06</v>
      </c>
      <c r="L77" s="12">
        <v>440</v>
      </c>
      <c r="M77" s="12">
        <v>500</v>
      </c>
      <c r="N77" s="7" t="s">
        <v>648</v>
      </c>
      <c r="O77" s="7" t="s">
        <v>648</v>
      </c>
      <c r="P77" s="7" t="s">
        <v>284</v>
      </c>
      <c r="Q77" s="4"/>
    </row>
    <row r="78" spans="1:17" ht="30" customHeight="1">
      <c r="A78" s="4" t="s">
        <v>819</v>
      </c>
      <c r="B78" s="7" t="s">
        <v>830</v>
      </c>
      <c r="C78" s="4" t="s">
        <v>831</v>
      </c>
      <c r="D78" s="7" t="s">
        <v>710</v>
      </c>
      <c r="E78" s="10">
        <v>4.5</v>
      </c>
      <c r="F78" s="10">
        <v>0.9</v>
      </c>
      <c r="G78" s="11">
        <v>415.13</v>
      </c>
      <c r="H78" s="11">
        <v>99.90000000000001</v>
      </c>
      <c r="I78" s="11">
        <v>200</v>
      </c>
      <c r="J78" s="11">
        <v>0</v>
      </c>
      <c r="K78" s="15">
        <v>0.06</v>
      </c>
      <c r="L78" s="12">
        <v>540</v>
      </c>
      <c r="M78" s="12">
        <v>620</v>
      </c>
      <c r="N78" s="7" t="s">
        <v>648</v>
      </c>
      <c r="O78" s="7" t="s">
        <v>648</v>
      </c>
      <c r="P78" s="7" t="s">
        <v>284</v>
      </c>
      <c r="Q78" s="4"/>
    </row>
    <row r="79" spans="1:17" ht="30" customHeight="1">
      <c r="A79" s="4" t="s">
        <v>819</v>
      </c>
      <c r="B79" s="7" t="s">
        <v>832</v>
      </c>
      <c r="C79" s="4" t="s">
        <v>833</v>
      </c>
      <c r="D79" s="7" t="s">
        <v>682</v>
      </c>
      <c r="E79" s="10">
        <v>2</v>
      </c>
      <c r="F79" s="10">
        <v>0.9</v>
      </c>
      <c r="G79" s="11">
        <v>178</v>
      </c>
      <c r="H79" s="11">
        <v>44.4</v>
      </c>
      <c r="I79" s="11">
        <v>125</v>
      </c>
      <c r="J79" s="11">
        <v>0</v>
      </c>
      <c r="K79" s="15">
        <v>0.06</v>
      </c>
      <c r="L79" s="12">
        <v>320</v>
      </c>
      <c r="M79" s="12">
        <v>380</v>
      </c>
      <c r="N79" s="7" t="s">
        <v>648</v>
      </c>
      <c r="O79" s="7" t="s">
        <v>648</v>
      </c>
      <c r="P79" s="7" t="s">
        <v>284</v>
      </c>
      <c r="Q79" s="4"/>
    </row>
    <row r="80" spans="1:17" ht="30" customHeight="1">
      <c r="A80" s="4" t="s">
        <v>819</v>
      </c>
      <c r="B80" s="7" t="s">
        <v>834</v>
      </c>
      <c r="C80" s="4" t="s">
        <v>835</v>
      </c>
      <c r="D80" s="7" t="s">
        <v>682</v>
      </c>
      <c r="E80" s="10">
        <v>1.8</v>
      </c>
      <c r="F80" s="10">
        <v>0.9</v>
      </c>
      <c r="G80" s="11">
        <v>160.2</v>
      </c>
      <c r="H80" s="11">
        <v>38.48</v>
      </c>
      <c r="I80" s="11">
        <v>100</v>
      </c>
      <c r="J80" s="11">
        <v>0</v>
      </c>
      <c r="K80" s="15">
        <v>0.06</v>
      </c>
      <c r="L80" s="12">
        <v>265</v>
      </c>
      <c r="M80" s="12">
        <v>320</v>
      </c>
      <c r="N80" s="7" t="s">
        <v>648</v>
      </c>
      <c r="O80" s="7" t="s">
        <v>648</v>
      </c>
      <c r="P80" s="7" t="s">
        <v>284</v>
      </c>
      <c r="Q80" s="4"/>
    </row>
    <row r="81" spans="1:17" ht="18" customHeight="1">
      <c r="A81" s="9" t="s">
        <v>836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30" customHeight="1">
      <c r="A82" s="4" t="s">
        <v>836</v>
      </c>
      <c r="B82" s="7" t="s">
        <v>837</v>
      </c>
      <c r="C82" s="4" t="s">
        <v>838</v>
      </c>
      <c r="D82" s="7" t="s">
        <v>647</v>
      </c>
      <c r="E82" s="10">
        <v>0.55</v>
      </c>
      <c r="F82" s="10">
        <v>0.88</v>
      </c>
      <c r="G82" s="11">
        <v>50.02</v>
      </c>
      <c r="H82" s="11">
        <v>68.93000000000001</v>
      </c>
      <c r="I82" s="11">
        <v>40</v>
      </c>
      <c r="J82" s="11">
        <v>0</v>
      </c>
      <c r="K82" s="15">
        <v>0.05</v>
      </c>
      <c r="L82" s="12">
        <v>90</v>
      </c>
      <c r="M82" s="12">
        <v>150</v>
      </c>
      <c r="N82" s="7" t="s">
        <v>200</v>
      </c>
      <c r="O82" s="7" t="s">
        <v>648</v>
      </c>
      <c r="P82" s="7" t="s">
        <v>278</v>
      </c>
      <c r="Q82" s="4" t="s">
        <v>839</v>
      </c>
    </row>
    <row r="83" spans="1:17" ht="30" customHeight="1">
      <c r="A83" s="4" t="s">
        <v>836</v>
      </c>
      <c r="B83" s="7" t="s">
        <v>840</v>
      </c>
      <c r="C83" s="4" t="s">
        <v>841</v>
      </c>
      <c r="D83" s="7" t="s">
        <v>647</v>
      </c>
      <c r="E83" s="10">
        <v>0.35</v>
      </c>
      <c r="F83" s="10">
        <v>0.91</v>
      </c>
      <c r="G83" s="11">
        <v>31.83</v>
      </c>
      <c r="H83" s="11">
        <v>43.88</v>
      </c>
      <c r="I83" s="11">
        <v>12</v>
      </c>
      <c r="J83" s="11">
        <v>0</v>
      </c>
      <c r="K83" s="15">
        <v>0.08</v>
      </c>
      <c r="L83" s="12">
        <v>58</v>
      </c>
      <c r="M83" s="12">
        <v>95</v>
      </c>
      <c r="N83" s="7" t="s">
        <v>198</v>
      </c>
      <c r="O83" s="7" t="s">
        <v>648</v>
      </c>
      <c r="P83" s="7" t="s">
        <v>276</v>
      </c>
      <c r="Q83" s="4" t="s">
        <v>842</v>
      </c>
    </row>
    <row r="84" spans="1:17" ht="30" customHeight="1">
      <c r="A84" s="4" t="s">
        <v>836</v>
      </c>
      <c r="B84" s="7" t="s">
        <v>843</v>
      </c>
      <c r="C84" s="4" t="s">
        <v>844</v>
      </c>
      <c r="D84" s="7" t="s">
        <v>682</v>
      </c>
      <c r="E84" s="10">
        <v>0.05</v>
      </c>
      <c r="F84" s="10">
        <v>0.91</v>
      </c>
      <c r="G84" s="11">
        <v>4.55</v>
      </c>
      <c r="H84" s="11">
        <v>1.3</v>
      </c>
      <c r="I84" s="11">
        <v>3.75</v>
      </c>
      <c r="J84" s="11">
        <v>0</v>
      </c>
      <c r="K84" s="15">
        <v>0.05</v>
      </c>
      <c r="L84" s="12">
        <v>5</v>
      </c>
      <c r="M84" s="12">
        <v>12</v>
      </c>
      <c r="N84" s="7" t="s">
        <v>198</v>
      </c>
      <c r="O84" s="7" t="s">
        <v>200</v>
      </c>
      <c r="P84" s="7" t="s">
        <v>272</v>
      </c>
      <c r="Q84" s="4" t="s">
        <v>845</v>
      </c>
    </row>
    <row r="85" spans="1:17" ht="30" customHeight="1">
      <c r="A85" s="4" t="s">
        <v>836</v>
      </c>
      <c r="B85" s="7" t="s">
        <v>846</v>
      </c>
      <c r="C85" s="4" t="s">
        <v>847</v>
      </c>
      <c r="D85" s="7" t="s">
        <v>682</v>
      </c>
      <c r="E85" s="10">
        <v>0.2</v>
      </c>
      <c r="F85" s="10">
        <v>0.91</v>
      </c>
      <c r="G85" s="11">
        <v>18.19</v>
      </c>
      <c r="H85" s="11">
        <v>5.2</v>
      </c>
      <c r="I85" s="11">
        <v>20</v>
      </c>
      <c r="J85" s="11">
        <v>0</v>
      </c>
      <c r="K85" s="15">
        <v>0.05</v>
      </c>
      <c r="L85" s="12">
        <v>30</v>
      </c>
      <c r="M85" s="12">
        <v>48</v>
      </c>
      <c r="N85" s="7" t="s">
        <v>200</v>
      </c>
      <c r="O85" s="7" t="s">
        <v>200</v>
      </c>
      <c r="P85" s="7" t="s">
        <v>280</v>
      </c>
      <c r="Q85" s="4" t="s">
        <v>848</v>
      </c>
    </row>
    <row r="86" spans="1:17" ht="18" customHeight="1">
      <c r="A86" s="9" t="s">
        <v>849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30" customHeight="1">
      <c r="A87" s="4" t="s">
        <v>849</v>
      </c>
      <c r="B87" s="7" t="s">
        <v>850</v>
      </c>
      <c r="C87" s="4" t="s">
        <v>851</v>
      </c>
      <c r="D87" s="7" t="s">
        <v>710</v>
      </c>
      <c r="E87" s="10">
        <v>0.25</v>
      </c>
      <c r="F87" s="7" t="s">
        <v>852</v>
      </c>
      <c r="G87" s="16">
        <v>26.92</v>
      </c>
      <c r="H87" s="16">
        <v>8.789999999999999</v>
      </c>
      <c r="I87" s="16">
        <v>0</v>
      </c>
      <c r="J87" s="16">
        <v>0</v>
      </c>
      <c r="K87" s="17">
        <v>0.06</v>
      </c>
      <c r="L87" s="12">
        <v>25</v>
      </c>
      <c r="M87" s="12">
        <v>45</v>
      </c>
      <c r="N87" s="7" t="s">
        <v>198</v>
      </c>
      <c r="O87" s="7" t="s">
        <v>648</v>
      </c>
      <c r="P87" s="7" t="s">
        <v>298</v>
      </c>
      <c r="Q87" s="4" t="s">
        <v>853</v>
      </c>
    </row>
    <row r="88" spans="1:17" ht="30" customHeight="1">
      <c r="A88" s="4" t="s">
        <v>849</v>
      </c>
      <c r="B88" s="7" t="s">
        <v>854</v>
      </c>
      <c r="C88" s="4" t="s">
        <v>855</v>
      </c>
      <c r="D88" s="7" t="s">
        <v>647</v>
      </c>
      <c r="E88" s="10">
        <v>0.65</v>
      </c>
      <c r="F88" s="7" t="s">
        <v>852</v>
      </c>
      <c r="G88" s="16">
        <v>80.54000000000001</v>
      </c>
      <c r="H88" s="16">
        <v>63.49</v>
      </c>
      <c r="I88" s="16">
        <v>0</v>
      </c>
      <c r="J88" s="16">
        <v>0</v>
      </c>
      <c r="K88" s="17">
        <v>0.06</v>
      </c>
      <c r="L88" s="12">
        <v>45</v>
      </c>
      <c r="M88" s="12">
        <v>85</v>
      </c>
      <c r="N88" s="7" t="s">
        <v>198</v>
      </c>
      <c r="O88" s="7" t="s">
        <v>648</v>
      </c>
      <c r="P88" s="7" t="s">
        <v>278</v>
      </c>
      <c r="Q88" s="4" t="s">
        <v>856</v>
      </c>
    </row>
    <row r="89" spans="1:17" ht="30" customHeight="1">
      <c r="A89" s="4" t="s">
        <v>849</v>
      </c>
      <c r="B89" s="7" t="s">
        <v>857</v>
      </c>
      <c r="C89" s="4" t="s">
        <v>858</v>
      </c>
      <c r="D89" s="7" t="s">
        <v>710</v>
      </c>
      <c r="E89" s="10">
        <v>0.8</v>
      </c>
      <c r="F89" s="7" t="s">
        <v>852</v>
      </c>
      <c r="G89" s="16">
        <v>86.15000000000001</v>
      </c>
      <c r="H89" s="16">
        <v>28.13</v>
      </c>
      <c r="I89" s="16">
        <v>0</v>
      </c>
      <c r="J89" s="16">
        <v>0</v>
      </c>
      <c r="K89" s="17">
        <v>0.06</v>
      </c>
      <c r="L89" s="12">
        <v>55</v>
      </c>
      <c r="M89" s="12">
        <v>95</v>
      </c>
      <c r="N89" s="7" t="s">
        <v>198</v>
      </c>
      <c r="O89" s="7" t="s">
        <v>648</v>
      </c>
      <c r="P89" s="7" t="s">
        <v>298</v>
      </c>
      <c r="Q89" s="4" t="s">
        <v>859</v>
      </c>
    </row>
    <row r="90" spans="1:17" ht="30" customHeight="1">
      <c r="A90" s="4" t="s">
        <v>849</v>
      </c>
      <c r="B90" s="7" t="s">
        <v>860</v>
      </c>
      <c r="C90" s="4" t="s">
        <v>861</v>
      </c>
      <c r="D90" s="7" t="s">
        <v>716</v>
      </c>
      <c r="E90" s="10">
        <v>2</v>
      </c>
      <c r="F90" s="7" t="s">
        <v>852</v>
      </c>
      <c r="G90" s="16">
        <v>219.78</v>
      </c>
      <c r="H90" s="16">
        <v>61.54</v>
      </c>
      <c r="I90" s="16">
        <v>0</v>
      </c>
      <c r="J90" s="16">
        <v>0</v>
      </c>
      <c r="K90" s="17">
        <v>0.06</v>
      </c>
      <c r="L90" s="12">
        <v>250</v>
      </c>
      <c r="M90" s="12">
        <v>550</v>
      </c>
      <c r="N90" s="7" t="s">
        <v>200</v>
      </c>
      <c r="O90" s="7" t="s">
        <v>648</v>
      </c>
      <c r="P90" s="7" t="s">
        <v>365</v>
      </c>
      <c r="Q90" s="4" t="s">
        <v>862</v>
      </c>
    </row>
    <row r="91" spans="1:17" ht="18" customHeight="1">
      <c r="A91" s="9" t="s">
        <v>863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30" customHeight="1">
      <c r="A92" s="4" t="s">
        <v>863</v>
      </c>
      <c r="B92" s="7" t="s">
        <v>864</v>
      </c>
      <c r="C92" s="4" t="s">
        <v>865</v>
      </c>
      <c r="D92" s="7" t="s">
        <v>716</v>
      </c>
      <c r="E92" s="7" t="s">
        <v>852</v>
      </c>
      <c r="F92" s="7" t="s">
        <v>852</v>
      </c>
      <c r="G92" s="7" t="s">
        <v>852</v>
      </c>
      <c r="H92" s="7" t="s">
        <v>852</v>
      </c>
      <c r="I92" s="7" t="s">
        <v>852</v>
      </c>
      <c r="J92" s="16">
        <v>65000</v>
      </c>
      <c r="K92" s="17">
        <v>0.05</v>
      </c>
      <c r="L92" s="12">
        <v>45000</v>
      </c>
      <c r="M92" s="12">
        <v>85000</v>
      </c>
      <c r="N92" s="7" t="s">
        <v>198</v>
      </c>
      <c r="O92" s="7" t="s">
        <v>648</v>
      </c>
      <c r="P92" s="7" t="s">
        <v>280</v>
      </c>
      <c r="Q92" s="4" t="s">
        <v>866</v>
      </c>
    </row>
    <row r="93" spans="1:17" ht="30" customHeight="1">
      <c r="A93" s="4" t="s">
        <v>863</v>
      </c>
      <c r="B93" s="7" t="s">
        <v>867</v>
      </c>
      <c r="C93" s="4" t="s">
        <v>868</v>
      </c>
      <c r="D93" s="7" t="s">
        <v>716</v>
      </c>
      <c r="E93" s="7" t="s">
        <v>852</v>
      </c>
      <c r="F93" s="7" t="s">
        <v>852</v>
      </c>
      <c r="G93" s="7" t="s">
        <v>852</v>
      </c>
      <c r="H93" s="7" t="s">
        <v>852</v>
      </c>
      <c r="I93" s="7" t="s">
        <v>852</v>
      </c>
      <c r="J93" s="16">
        <v>185000</v>
      </c>
      <c r="K93" s="17">
        <v>0.05</v>
      </c>
      <c r="L93" s="12">
        <v>120000</v>
      </c>
      <c r="M93" s="12">
        <v>250000</v>
      </c>
      <c r="N93" s="7" t="s">
        <v>198</v>
      </c>
      <c r="O93" s="7" t="s">
        <v>648</v>
      </c>
      <c r="P93" s="7" t="s">
        <v>280</v>
      </c>
      <c r="Q93" s="4" t="s">
        <v>869</v>
      </c>
    </row>
    <row r="94" spans="1:17" ht="30" customHeight="1">
      <c r="A94" s="4" t="s">
        <v>863</v>
      </c>
      <c r="B94" s="7" t="s">
        <v>870</v>
      </c>
      <c r="C94" s="4" t="s">
        <v>871</v>
      </c>
      <c r="D94" s="7" t="s">
        <v>710</v>
      </c>
      <c r="E94" s="10">
        <v>1.5</v>
      </c>
      <c r="F94" s="7" t="s">
        <v>852</v>
      </c>
      <c r="G94" s="16">
        <v>191.21</v>
      </c>
      <c r="H94" s="16">
        <v>48</v>
      </c>
      <c r="I94" s="16">
        <v>62.68</v>
      </c>
      <c r="J94" s="7" t="s">
        <v>852</v>
      </c>
      <c r="K94" s="17">
        <v>0.06</v>
      </c>
      <c r="L94" s="12">
        <v>320</v>
      </c>
      <c r="M94" s="12">
        <v>420</v>
      </c>
      <c r="N94" s="7" t="s">
        <v>216</v>
      </c>
      <c r="O94" s="7" t="s">
        <v>648</v>
      </c>
      <c r="P94" s="7" t="s">
        <v>280</v>
      </c>
      <c r="Q94" s="4" t="s">
        <v>789</v>
      </c>
    </row>
    <row r="95" spans="1:17" ht="30" customHeight="1">
      <c r="A95" s="4" t="s">
        <v>863</v>
      </c>
      <c r="B95" s="7" t="s">
        <v>872</v>
      </c>
      <c r="C95" s="4" t="s">
        <v>873</v>
      </c>
      <c r="D95" s="7" t="s">
        <v>710</v>
      </c>
      <c r="E95" s="10">
        <v>2</v>
      </c>
      <c r="F95" s="7" t="s">
        <v>852</v>
      </c>
      <c r="G95" s="16">
        <v>254.95</v>
      </c>
      <c r="H95" s="16">
        <v>64</v>
      </c>
      <c r="I95" s="16">
        <v>39.54</v>
      </c>
      <c r="J95" s="7" t="s">
        <v>852</v>
      </c>
      <c r="K95" s="17">
        <v>0.06</v>
      </c>
      <c r="L95" s="12">
        <v>380</v>
      </c>
      <c r="M95" s="12">
        <v>500</v>
      </c>
      <c r="N95" s="7" t="s">
        <v>216</v>
      </c>
      <c r="O95" s="7" t="s">
        <v>648</v>
      </c>
      <c r="P95" s="7" t="s">
        <v>280</v>
      </c>
      <c r="Q95" s="4"/>
    </row>
    <row r="96" spans="1:17" ht="30" customHeight="1">
      <c r="A96" s="4" t="s">
        <v>863</v>
      </c>
      <c r="B96" s="7" t="s">
        <v>874</v>
      </c>
      <c r="C96" s="4" t="s">
        <v>875</v>
      </c>
      <c r="D96" s="7" t="s">
        <v>876</v>
      </c>
      <c r="E96" s="7" t="s">
        <v>852</v>
      </c>
      <c r="F96" s="7" t="s">
        <v>852</v>
      </c>
      <c r="G96" s="7" t="s">
        <v>852</v>
      </c>
      <c r="H96" s="7" t="s">
        <v>852</v>
      </c>
      <c r="I96" s="7" t="s">
        <v>852</v>
      </c>
      <c r="J96" s="16">
        <v>50000</v>
      </c>
      <c r="K96" s="17">
        <v>0.05</v>
      </c>
      <c r="L96" s="12">
        <v>35000</v>
      </c>
      <c r="M96" s="12">
        <v>65000</v>
      </c>
      <c r="N96" s="7" t="s">
        <v>200</v>
      </c>
      <c r="O96" s="7" t="s">
        <v>648</v>
      </c>
      <c r="P96" s="7" t="s">
        <v>280</v>
      </c>
      <c r="Q96" s="4" t="s">
        <v>877</v>
      </c>
    </row>
    <row r="97" spans="1:17" ht="18" customHeight="1">
      <c r="A97" s="9" t="s">
        <v>878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30" customHeight="1">
      <c r="A98" s="4" t="s">
        <v>878</v>
      </c>
      <c r="B98" s="7" t="s">
        <v>879</v>
      </c>
      <c r="C98" s="4" t="s">
        <v>880</v>
      </c>
      <c r="D98" s="7" t="s">
        <v>710</v>
      </c>
      <c r="E98" s="10">
        <v>2</v>
      </c>
      <c r="F98" s="7" t="s">
        <v>852</v>
      </c>
      <c r="G98" s="16">
        <v>254.95</v>
      </c>
      <c r="H98" s="16">
        <v>64</v>
      </c>
      <c r="I98" s="16">
        <v>39.54</v>
      </c>
      <c r="J98" s="7" t="s">
        <v>852</v>
      </c>
      <c r="K98" s="17">
        <v>0.06</v>
      </c>
      <c r="L98" s="12">
        <v>380</v>
      </c>
      <c r="M98" s="12">
        <v>500</v>
      </c>
      <c r="N98" s="7" t="s">
        <v>216</v>
      </c>
      <c r="O98" s="7" t="s">
        <v>648</v>
      </c>
      <c r="P98" s="7" t="s">
        <v>280</v>
      </c>
      <c r="Q98" s="4"/>
    </row>
    <row r="99" spans="1:17" ht="30" customHeight="1">
      <c r="A99" s="4" t="s">
        <v>878</v>
      </c>
      <c r="B99" s="7" t="s">
        <v>881</v>
      </c>
      <c r="C99" s="4" t="s">
        <v>882</v>
      </c>
      <c r="D99" s="7" t="s">
        <v>710</v>
      </c>
      <c r="E99" s="10">
        <v>2.5</v>
      </c>
      <c r="F99" s="7" t="s">
        <v>852</v>
      </c>
      <c r="G99" s="16">
        <v>318.68</v>
      </c>
      <c r="H99" s="16">
        <v>80</v>
      </c>
      <c r="I99" s="16">
        <v>25.85</v>
      </c>
      <c r="J99" s="7" t="s">
        <v>852</v>
      </c>
      <c r="K99" s="17">
        <v>0.06</v>
      </c>
      <c r="L99" s="12">
        <v>450</v>
      </c>
      <c r="M99" s="12">
        <v>620</v>
      </c>
      <c r="N99" s="7" t="s">
        <v>216</v>
      </c>
      <c r="O99" s="7" t="s">
        <v>648</v>
      </c>
      <c r="P99" s="7" t="s">
        <v>280</v>
      </c>
      <c r="Q99" s="4"/>
    </row>
    <row r="100" spans="1:17" ht="30" customHeight="1">
      <c r="A100" s="4" t="s">
        <v>878</v>
      </c>
      <c r="B100" s="7" t="s">
        <v>883</v>
      </c>
      <c r="C100" s="4" t="s">
        <v>884</v>
      </c>
      <c r="D100" s="7" t="s">
        <v>710</v>
      </c>
      <c r="E100" s="10">
        <v>1.8</v>
      </c>
      <c r="F100" s="7" t="s">
        <v>852</v>
      </c>
      <c r="G100" s="16">
        <v>229.45</v>
      </c>
      <c r="H100" s="16">
        <v>57.6</v>
      </c>
      <c r="I100" s="16">
        <v>71.44</v>
      </c>
      <c r="J100" s="7" t="s">
        <v>852</v>
      </c>
      <c r="K100" s="17">
        <v>0.06</v>
      </c>
      <c r="L100" s="12">
        <v>380</v>
      </c>
      <c r="M100" s="12">
        <v>520</v>
      </c>
      <c r="N100" s="7" t="s">
        <v>216</v>
      </c>
      <c r="O100" s="7" t="s">
        <v>648</v>
      </c>
      <c r="P100" s="7" t="s">
        <v>280</v>
      </c>
      <c r="Q100" s="4" t="s">
        <v>885</v>
      </c>
    </row>
    <row r="101" spans="1:17" ht="30" customHeight="1">
      <c r="A101" s="4" t="s">
        <v>878</v>
      </c>
      <c r="B101" s="7" t="s">
        <v>886</v>
      </c>
      <c r="C101" s="4" t="s">
        <v>887</v>
      </c>
      <c r="D101" s="7" t="s">
        <v>716</v>
      </c>
      <c r="E101" s="10">
        <v>8</v>
      </c>
      <c r="F101" s="7" t="s">
        <v>852</v>
      </c>
      <c r="G101" s="16">
        <v>1019.78</v>
      </c>
      <c r="H101" s="16">
        <v>256</v>
      </c>
      <c r="I101" s="16">
        <v>2969.5</v>
      </c>
      <c r="J101" s="7" t="s">
        <v>852</v>
      </c>
      <c r="K101" s="17">
        <v>0.06</v>
      </c>
      <c r="L101" s="12">
        <v>4500</v>
      </c>
      <c r="M101" s="12">
        <v>7500</v>
      </c>
      <c r="N101" s="7" t="s">
        <v>216</v>
      </c>
      <c r="O101" s="7" t="s">
        <v>648</v>
      </c>
      <c r="P101" s="7" t="s">
        <v>280</v>
      </c>
      <c r="Q101" s="4" t="s">
        <v>888</v>
      </c>
    </row>
    <row r="102" spans="1:17" ht="30" customHeight="1">
      <c r="A102" s="4" t="s">
        <v>878</v>
      </c>
      <c r="B102" s="7" t="s">
        <v>889</v>
      </c>
      <c r="C102" s="4" t="s">
        <v>890</v>
      </c>
      <c r="D102" s="7" t="s">
        <v>716</v>
      </c>
      <c r="E102" s="10">
        <v>4</v>
      </c>
      <c r="F102" s="7" t="s">
        <v>852</v>
      </c>
      <c r="G102" s="16">
        <v>486.81</v>
      </c>
      <c r="H102" s="16">
        <v>114.29</v>
      </c>
      <c r="I102" s="16">
        <v>530.98</v>
      </c>
      <c r="J102" s="7" t="s">
        <v>852</v>
      </c>
      <c r="K102" s="17">
        <v>0.06</v>
      </c>
      <c r="L102" s="12">
        <v>1200</v>
      </c>
      <c r="M102" s="12">
        <v>2500</v>
      </c>
      <c r="N102" s="7" t="s">
        <v>216</v>
      </c>
      <c r="O102" s="7" t="s">
        <v>198</v>
      </c>
      <c r="P102" s="7" t="s">
        <v>282</v>
      </c>
      <c r="Q102" s="4" t="s">
        <v>891</v>
      </c>
    </row>
    <row r="103" spans="1:17" ht="30" customHeight="1">
      <c r="A103" s="4" t="s">
        <v>878</v>
      </c>
      <c r="B103" s="7" t="s">
        <v>892</v>
      </c>
      <c r="C103" s="4" t="s">
        <v>893</v>
      </c>
      <c r="D103" s="7" t="s">
        <v>716</v>
      </c>
      <c r="E103" s="10">
        <v>3</v>
      </c>
      <c r="F103" s="7" t="s">
        <v>852</v>
      </c>
      <c r="G103" s="16">
        <v>382.42</v>
      </c>
      <c r="H103" s="16">
        <v>96</v>
      </c>
      <c r="I103" s="16">
        <v>1597.05</v>
      </c>
      <c r="J103" s="7" t="s">
        <v>852</v>
      </c>
      <c r="K103" s="17">
        <v>0.06</v>
      </c>
      <c r="L103" s="12">
        <v>2200</v>
      </c>
      <c r="M103" s="12">
        <v>3500</v>
      </c>
      <c r="N103" s="7" t="s">
        <v>200</v>
      </c>
      <c r="O103" s="7" t="s">
        <v>648</v>
      </c>
      <c r="P103" s="7" t="s">
        <v>280</v>
      </c>
      <c r="Q103" s="4" t="s">
        <v>894</v>
      </c>
    </row>
    <row r="104" spans="1:17" ht="30" customHeight="1">
      <c r="A104" s="4" t="s">
        <v>878</v>
      </c>
      <c r="B104" s="7" t="s">
        <v>895</v>
      </c>
      <c r="C104" s="4" t="s">
        <v>896</v>
      </c>
      <c r="D104" s="7" t="s">
        <v>716</v>
      </c>
      <c r="E104" s="10">
        <v>6</v>
      </c>
      <c r="F104" s="7" t="s">
        <v>852</v>
      </c>
      <c r="G104" s="16">
        <v>764.84</v>
      </c>
      <c r="H104" s="16">
        <v>192</v>
      </c>
      <c r="I104" s="16">
        <v>7062.03</v>
      </c>
      <c r="J104" s="7" t="s">
        <v>852</v>
      </c>
      <c r="K104" s="17">
        <v>0.06</v>
      </c>
      <c r="L104" s="12">
        <v>8500</v>
      </c>
      <c r="M104" s="12">
        <v>14000</v>
      </c>
      <c r="N104" s="7" t="s">
        <v>200</v>
      </c>
      <c r="O104" s="7" t="s">
        <v>648</v>
      </c>
      <c r="P104" s="7" t="s">
        <v>280</v>
      </c>
      <c r="Q104" s="4" t="s">
        <v>897</v>
      </c>
    </row>
    <row r="105" spans="1:17" ht="18" customHeight="1">
      <c r="A105" s="9" t="s">
        <v>898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30" customHeight="1">
      <c r="A106" s="4" t="s">
        <v>898</v>
      </c>
      <c r="B106" s="7" t="s">
        <v>899</v>
      </c>
      <c r="C106" s="4" t="s">
        <v>900</v>
      </c>
      <c r="D106" s="7" t="s">
        <v>682</v>
      </c>
      <c r="E106" s="10">
        <v>4.5</v>
      </c>
      <c r="F106" s="7" t="s">
        <v>852</v>
      </c>
      <c r="G106" s="16">
        <v>547.66</v>
      </c>
      <c r="H106" s="16">
        <v>128.57</v>
      </c>
      <c r="I106" s="16">
        <v>0</v>
      </c>
      <c r="J106" s="16">
        <v>0</v>
      </c>
      <c r="K106" s="17">
        <v>0.06</v>
      </c>
      <c r="L106" s="12">
        <v>220</v>
      </c>
      <c r="M106" s="12">
        <v>300</v>
      </c>
      <c r="N106" s="7" t="s">
        <v>216</v>
      </c>
      <c r="O106" s="7" t="s">
        <v>216</v>
      </c>
      <c r="P106" s="7" t="s">
        <v>282</v>
      </c>
      <c r="Q106" s="4" t="s">
        <v>901</v>
      </c>
    </row>
    <row r="107" spans="1:17" ht="30" customHeight="1">
      <c r="A107" s="4" t="s">
        <v>898</v>
      </c>
      <c r="B107" s="7" t="s">
        <v>902</v>
      </c>
      <c r="C107" s="4" t="s">
        <v>903</v>
      </c>
      <c r="D107" s="7" t="s">
        <v>710</v>
      </c>
      <c r="E107" s="10">
        <v>2.5</v>
      </c>
      <c r="F107" s="7" t="s">
        <v>852</v>
      </c>
      <c r="G107" s="16">
        <v>304.26</v>
      </c>
      <c r="H107" s="16">
        <v>71.43000000000001</v>
      </c>
      <c r="I107" s="16">
        <v>0</v>
      </c>
      <c r="J107" s="16">
        <v>0</v>
      </c>
      <c r="K107" s="17">
        <v>0.06</v>
      </c>
      <c r="L107" s="12">
        <v>185</v>
      </c>
      <c r="M107" s="12">
        <v>265</v>
      </c>
      <c r="N107" s="7" t="s">
        <v>200</v>
      </c>
      <c r="O107" s="7" t="s">
        <v>216</v>
      </c>
      <c r="P107" s="7" t="s">
        <v>282</v>
      </c>
      <c r="Q107" s="4" t="s">
        <v>904</v>
      </c>
    </row>
    <row r="108" spans="1:17" ht="30" customHeight="1">
      <c r="A108" s="4" t="s">
        <v>898</v>
      </c>
      <c r="B108" s="7" t="s">
        <v>905</v>
      </c>
      <c r="C108" s="4" t="s">
        <v>906</v>
      </c>
      <c r="D108" s="7" t="s">
        <v>716</v>
      </c>
      <c r="E108" s="10">
        <v>40</v>
      </c>
      <c r="F108" s="7" t="s">
        <v>852</v>
      </c>
      <c r="G108" s="16">
        <v>4868.13</v>
      </c>
      <c r="H108" s="16">
        <v>1142.86</v>
      </c>
      <c r="I108" s="16">
        <v>10970.14</v>
      </c>
      <c r="J108" s="7" t="s">
        <v>852</v>
      </c>
      <c r="K108" s="17">
        <v>0.06</v>
      </c>
      <c r="L108" s="12">
        <v>18000</v>
      </c>
      <c r="M108" s="12">
        <v>35000</v>
      </c>
      <c r="N108" s="7" t="s">
        <v>200</v>
      </c>
      <c r="O108" s="7" t="s">
        <v>200</v>
      </c>
      <c r="P108" s="7" t="s">
        <v>282</v>
      </c>
      <c r="Q108" s="4" t="s">
        <v>907</v>
      </c>
    </row>
    <row r="109" spans="1:17" ht="18" customHeight="1">
      <c r="A109" s="9" t="s">
        <v>908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30" customHeight="1">
      <c r="A110" s="4" t="s">
        <v>908</v>
      </c>
      <c r="B110" s="7" t="s">
        <v>909</v>
      </c>
      <c r="C110" s="4" t="s">
        <v>910</v>
      </c>
      <c r="D110" s="7" t="s">
        <v>710</v>
      </c>
      <c r="E110" s="10">
        <v>1</v>
      </c>
      <c r="F110" s="7" t="s">
        <v>852</v>
      </c>
      <c r="G110" s="16">
        <v>124.86</v>
      </c>
      <c r="H110" s="16">
        <v>50.27</v>
      </c>
      <c r="I110" s="16">
        <v>0</v>
      </c>
      <c r="J110" s="16">
        <v>0</v>
      </c>
      <c r="K110" s="17">
        <v>0.06</v>
      </c>
      <c r="L110" s="12">
        <v>110</v>
      </c>
      <c r="M110" s="12">
        <v>165</v>
      </c>
      <c r="N110" s="7" t="s">
        <v>200</v>
      </c>
      <c r="O110" s="7" t="s">
        <v>648</v>
      </c>
      <c r="P110" s="7" t="s">
        <v>272</v>
      </c>
      <c r="Q110" s="4" t="s">
        <v>911</v>
      </c>
    </row>
    <row r="111" spans="1:17" ht="30" customHeight="1">
      <c r="A111" s="4" t="s">
        <v>908</v>
      </c>
      <c r="B111" s="7" t="s">
        <v>912</v>
      </c>
      <c r="C111" s="4" t="s">
        <v>913</v>
      </c>
      <c r="D111" s="7" t="s">
        <v>710</v>
      </c>
      <c r="E111" s="10">
        <v>1.5</v>
      </c>
      <c r="F111" s="7" t="s">
        <v>852</v>
      </c>
      <c r="G111" s="16">
        <v>187.29</v>
      </c>
      <c r="H111" s="16">
        <v>75.41</v>
      </c>
      <c r="I111" s="16">
        <v>0</v>
      </c>
      <c r="J111" s="16">
        <v>0</v>
      </c>
      <c r="K111" s="17">
        <v>0.06</v>
      </c>
      <c r="L111" s="12">
        <v>165</v>
      </c>
      <c r="M111" s="12">
        <v>260</v>
      </c>
      <c r="N111" s="7" t="s">
        <v>200</v>
      </c>
      <c r="O111" s="7" t="s">
        <v>648</v>
      </c>
      <c r="P111" s="7" t="s">
        <v>272</v>
      </c>
      <c r="Q111" s="4" t="s">
        <v>914</v>
      </c>
    </row>
    <row r="112" spans="1:17" ht="30" customHeight="1">
      <c r="A112" s="4" t="s">
        <v>908</v>
      </c>
      <c r="B112" s="7" t="s">
        <v>915</v>
      </c>
      <c r="C112" s="4" t="s">
        <v>916</v>
      </c>
      <c r="D112" s="7" t="s">
        <v>716</v>
      </c>
      <c r="E112" s="10">
        <v>4</v>
      </c>
      <c r="F112" s="7" t="s">
        <v>852</v>
      </c>
      <c r="G112" s="16">
        <v>499.43</v>
      </c>
      <c r="H112" s="16">
        <v>201.1</v>
      </c>
      <c r="I112" s="16">
        <v>997.58</v>
      </c>
      <c r="J112" s="7" t="s">
        <v>852</v>
      </c>
      <c r="K112" s="17">
        <v>0.06</v>
      </c>
      <c r="L112" s="12">
        <v>1800</v>
      </c>
      <c r="M112" s="12">
        <v>3200</v>
      </c>
      <c r="N112" s="7" t="s">
        <v>200</v>
      </c>
      <c r="O112" s="7" t="s">
        <v>648</v>
      </c>
      <c r="P112" s="7" t="s">
        <v>272</v>
      </c>
      <c r="Q112" s="4"/>
    </row>
    <row r="113" spans="1:17" ht="30" customHeight="1">
      <c r="A113" s="4" t="s">
        <v>908</v>
      </c>
      <c r="B113" s="7" t="s">
        <v>917</v>
      </c>
      <c r="C113" s="4" t="s">
        <v>918</v>
      </c>
      <c r="D113" s="7" t="s">
        <v>716</v>
      </c>
      <c r="E113" s="10">
        <v>6</v>
      </c>
      <c r="F113" s="7" t="s">
        <v>852</v>
      </c>
      <c r="G113" s="16">
        <v>749.14</v>
      </c>
      <c r="H113" s="16">
        <v>301.65</v>
      </c>
      <c r="I113" s="16">
        <v>2251.1</v>
      </c>
      <c r="J113" s="7" t="s">
        <v>852</v>
      </c>
      <c r="K113" s="17">
        <v>0.06</v>
      </c>
      <c r="L113" s="12">
        <v>3500</v>
      </c>
      <c r="M113" s="12">
        <v>6500</v>
      </c>
      <c r="N113" s="7" t="s">
        <v>200</v>
      </c>
      <c r="O113" s="7" t="s">
        <v>648</v>
      </c>
      <c r="P113" s="7" t="s">
        <v>272</v>
      </c>
      <c r="Q113" s="4" t="s">
        <v>919</v>
      </c>
    </row>
    <row r="114" spans="1:17" ht="18" customHeight="1">
      <c r="A114" s="9" t="s">
        <v>920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30" customHeight="1">
      <c r="A115" s="4" t="s">
        <v>920</v>
      </c>
      <c r="B115" s="7" t="s">
        <v>921</v>
      </c>
      <c r="C115" s="4" t="s">
        <v>922</v>
      </c>
      <c r="D115" s="7" t="s">
        <v>923</v>
      </c>
      <c r="E115" s="10">
        <v>10</v>
      </c>
      <c r="F115" s="7" t="s">
        <v>852</v>
      </c>
      <c r="G115" s="16">
        <v>1248.57</v>
      </c>
      <c r="H115" s="16">
        <v>502.75</v>
      </c>
      <c r="I115" s="16">
        <v>0</v>
      </c>
      <c r="J115" s="16">
        <v>0</v>
      </c>
      <c r="K115" s="17">
        <v>0.06</v>
      </c>
      <c r="L115" s="12">
        <v>850</v>
      </c>
      <c r="M115" s="12">
        <v>1200</v>
      </c>
      <c r="N115" s="7" t="s">
        <v>200</v>
      </c>
      <c r="O115" s="7" t="s">
        <v>648</v>
      </c>
      <c r="P115" s="7" t="s">
        <v>272</v>
      </c>
      <c r="Q115" s="4" t="s">
        <v>924</v>
      </c>
    </row>
    <row r="116" spans="1:17" ht="30" customHeight="1">
      <c r="A116" s="4" t="s">
        <v>920</v>
      </c>
      <c r="B116" s="7" t="s">
        <v>925</v>
      </c>
      <c r="C116" s="4" t="s">
        <v>926</v>
      </c>
      <c r="D116" s="7" t="s">
        <v>817</v>
      </c>
      <c r="E116" s="10">
        <v>0.1</v>
      </c>
      <c r="F116" s="7" t="s">
        <v>852</v>
      </c>
      <c r="G116" s="16">
        <v>12.49</v>
      </c>
      <c r="H116" s="16">
        <v>5.03</v>
      </c>
      <c r="I116" s="16">
        <v>407.01</v>
      </c>
      <c r="J116" s="7" t="s">
        <v>852</v>
      </c>
      <c r="K116" s="17">
        <v>0.06</v>
      </c>
      <c r="L116" s="12">
        <v>450</v>
      </c>
      <c r="M116" s="12">
        <v>650</v>
      </c>
      <c r="N116" s="7" t="s">
        <v>200</v>
      </c>
      <c r="O116" s="7" t="s">
        <v>648</v>
      </c>
      <c r="P116" s="7" t="s">
        <v>272</v>
      </c>
      <c r="Q116" s="4" t="s">
        <v>927</v>
      </c>
    </row>
    <row r="117" spans="1:17" ht="18" customHeight="1">
      <c r="A117" s="9" t="s">
        <v>928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30" customHeight="1">
      <c r="A118" s="4" t="s">
        <v>928</v>
      </c>
      <c r="B118" s="7" t="s">
        <v>929</v>
      </c>
      <c r="C118" s="4" t="s">
        <v>930</v>
      </c>
      <c r="D118" s="7" t="s">
        <v>716</v>
      </c>
      <c r="E118" s="10">
        <v>8</v>
      </c>
      <c r="F118" s="7" t="s">
        <v>852</v>
      </c>
      <c r="G118" s="16">
        <v>861.54</v>
      </c>
      <c r="H118" s="16">
        <v>281.32</v>
      </c>
      <c r="I118" s="16">
        <v>1215.63</v>
      </c>
      <c r="J118" s="7" t="s">
        <v>852</v>
      </c>
      <c r="K118" s="17">
        <v>0.06</v>
      </c>
      <c r="L118" s="12">
        <v>2500</v>
      </c>
      <c r="M118" s="12">
        <v>5500</v>
      </c>
      <c r="N118" s="7" t="s">
        <v>198</v>
      </c>
      <c r="O118" s="7" t="s">
        <v>648</v>
      </c>
      <c r="P118" s="7" t="s">
        <v>298</v>
      </c>
      <c r="Q118" s="4" t="s">
        <v>931</v>
      </c>
    </row>
    <row r="119" spans="1:17" ht="30" customHeight="1">
      <c r="A119" s="4" t="s">
        <v>928</v>
      </c>
      <c r="B119" s="7" t="s">
        <v>932</v>
      </c>
      <c r="C119" s="4" t="s">
        <v>933</v>
      </c>
      <c r="D119" s="7" t="s">
        <v>682</v>
      </c>
      <c r="E119" s="10">
        <v>0.6</v>
      </c>
      <c r="F119" s="7" t="s">
        <v>852</v>
      </c>
      <c r="G119" s="16">
        <v>74.34</v>
      </c>
      <c r="H119" s="16">
        <v>58.6</v>
      </c>
      <c r="I119" s="16">
        <v>0</v>
      </c>
      <c r="J119" s="16">
        <v>0</v>
      </c>
      <c r="K119" s="17">
        <v>0.06</v>
      </c>
      <c r="L119" s="12">
        <v>65</v>
      </c>
      <c r="M119" s="12">
        <v>120</v>
      </c>
      <c r="N119" s="7" t="s">
        <v>198</v>
      </c>
      <c r="O119" s="7" t="s">
        <v>200</v>
      </c>
      <c r="P119" s="7" t="s">
        <v>278</v>
      </c>
      <c r="Q119" s="4" t="s">
        <v>934</v>
      </c>
    </row>
    <row r="120" spans="1:17" ht="30" customHeight="1">
      <c r="A120" s="4" t="s">
        <v>928</v>
      </c>
      <c r="B120" s="7" t="s">
        <v>935</v>
      </c>
      <c r="C120" s="4" t="s">
        <v>936</v>
      </c>
      <c r="D120" s="7" t="s">
        <v>682</v>
      </c>
      <c r="E120" s="10">
        <v>1.2</v>
      </c>
      <c r="F120" s="7" t="s">
        <v>852</v>
      </c>
      <c r="G120" s="16">
        <v>146.04</v>
      </c>
      <c r="H120" s="16">
        <v>34.29</v>
      </c>
      <c r="I120" s="16">
        <v>0</v>
      </c>
      <c r="J120" s="16">
        <v>0</v>
      </c>
      <c r="K120" s="17">
        <v>0.06</v>
      </c>
      <c r="L120" s="12">
        <v>120</v>
      </c>
      <c r="M120" s="12">
        <v>195</v>
      </c>
      <c r="N120" s="7" t="s">
        <v>200</v>
      </c>
      <c r="O120" s="7" t="s">
        <v>200</v>
      </c>
      <c r="P120" s="7" t="s">
        <v>282</v>
      </c>
      <c r="Q120" s="4" t="s">
        <v>937</v>
      </c>
    </row>
    <row r="121" spans="1:17" ht="30" customHeight="1">
      <c r="A121" s="4" t="s">
        <v>928</v>
      </c>
      <c r="B121" s="7" t="s">
        <v>938</v>
      </c>
      <c r="C121" s="4" t="s">
        <v>939</v>
      </c>
      <c r="D121" s="7" t="s">
        <v>682</v>
      </c>
      <c r="E121" s="10">
        <v>1.8</v>
      </c>
      <c r="F121" s="7" t="s">
        <v>852</v>
      </c>
      <c r="G121" s="16">
        <v>219.07</v>
      </c>
      <c r="H121" s="16">
        <v>51.43</v>
      </c>
      <c r="I121" s="16">
        <v>0</v>
      </c>
      <c r="J121" s="16">
        <v>0</v>
      </c>
      <c r="K121" s="17">
        <v>0.06</v>
      </c>
      <c r="L121" s="12">
        <v>165</v>
      </c>
      <c r="M121" s="12">
        <v>250</v>
      </c>
      <c r="N121" s="7" t="s">
        <v>200</v>
      </c>
      <c r="O121" s="7" t="s">
        <v>200</v>
      </c>
      <c r="P121" s="7" t="s">
        <v>282</v>
      </c>
      <c r="Q121" s="4" t="s">
        <v>940</v>
      </c>
    </row>
    <row r="122" spans="1:17" ht="18" customHeight="1">
      <c r="A122" s="9" t="s">
        <v>941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30" customHeight="1">
      <c r="A123" s="4" t="s">
        <v>941</v>
      </c>
      <c r="B123" s="7" t="s">
        <v>942</v>
      </c>
      <c r="C123" s="4" t="s">
        <v>943</v>
      </c>
      <c r="D123" s="7" t="s">
        <v>710</v>
      </c>
      <c r="E123" s="10">
        <v>18</v>
      </c>
      <c r="F123" s="7" t="s">
        <v>852</v>
      </c>
      <c r="G123" s="16">
        <v>2294.51</v>
      </c>
      <c r="H123" s="16">
        <v>576</v>
      </c>
      <c r="I123" s="16">
        <v>3261.57</v>
      </c>
      <c r="J123" s="7" t="s">
        <v>852</v>
      </c>
      <c r="K123" s="17">
        <v>0.06</v>
      </c>
      <c r="L123" s="12">
        <v>6500</v>
      </c>
      <c r="M123" s="12">
        <v>10500</v>
      </c>
      <c r="N123" s="7" t="s">
        <v>216</v>
      </c>
      <c r="O123" s="7" t="s">
        <v>648</v>
      </c>
      <c r="P123" s="7" t="s">
        <v>280</v>
      </c>
      <c r="Q123" s="4" t="s">
        <v>944</v>
      </c>
    </row>
    <row r="124" spans="1:17" ht="30" customHeight="1">
      <c r="A124" s="4" t="s">
        <v>941</v>
      </c>
      <c r="B124" s="7" t="s">
        <v>945</v>
      </c>
      <c r="C124" s="4" t="s">
        <v>946</v>
      </c>
      <c r="D124" s="7" t="s">
        <v>710</v>
      </c>
      <c r="E124" s="10">
        <v>14</v>
      </c>
      <c r="F124" s="7" t="s">
        <v>852</v>
      </c>
      <c r="G124" s="16">
        <v>1784.62</v>
      </c>
      <c r="H124" s="16">
        <v>448</v>
      </c>
      <c r="I124" s="16">
        <v>2012.66</v>
      </c>
      <c r="J124" s="7" t="s">
        <v>852</v>
      </c>
      <c r="K124" s="17">
        <v>0.06</v>
      </c>
      <c r="L124" s="12">
        <v>4500</v>
      </c>
      <c r="M124" s="12">
        <v>8500</v>
      </c>
      <c r="N124" s="7" t="s">
        <v>216</v>
      </c>
      <c r="O124" s="7" t="s">
        <v>648</v>
      </c>
      <c r="P124" s="7" t="s">
        <v>280</v>
      </c>
      <c r="Q124" s="4" t="s">
        <v>947</v>
      </c>
    </row>
    <row r="125" spans="1:17" ht="30" customHeight="1">
      <c r="A125" s="4" t="s">
        <v>941</v>
      </c>
      <c r="B125" s="7" t="s">
        <v>948</v>
      </c>
      <c r="C125" s="4" t="s">
        <v>949</v>
      </c>
      <c r="D125" s="7" t="s">
        <v>716</v>
      </c>
      <c r="E125" s="10">
        <v>24</v>
      </c>
      <c r="F125" s="7" t="s">
        <v>852</v>
      </c>
      <c r="G125" s="16">
        <v>2920.88</v>
      </c>
      <c r="H125" s="16">
        <v>685.71</v>
      </c>
      <c r="I125" s="16">
        <v>4412.28</v>
      </c>
      <c r="J125" s="7" t="s">
        <v>852</v>
      </c>
      <c r="K125" s="17">
        <v>0.06</v>
      </c>
      <c r="L125" s="12">
        <v>8500</v>
      </c>
      <c r="M125" s="12">
        <v>16000</v>
      </c>
      <c r="N125" s="7" t="s">
        <v>216</v>
      </c>
      <c r="O125" s="7" t="s">
        <v>198</v>
      </c>
      <c r="P125" s="7" t="s">
        <v>282</v>
      </c>
      <c r="Q125" s="4" t="s">
        <v>950</v>
      </c>
    </row>
    <row r="126" spans="1:17" ht="18" customHeight="1">
      <c r="A126" s="9" t="s">
        <v>951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30" customHeight="1">
      <c r="A127" s="4" t="s">
        <v>951</v>
      </c>
      <c r="B127" s="7" t="s">
        <v>952</v>
      </c>
      <c r="C127" s="4" t="s">
        <v>953</v>
      </c>
      <c r="D127" s="7" t="s">
        <v>817</v>
      </c>
      <c r="E127" s="10">
        <v>0.02</v>
      </c>
      <c r="F127" s="7" t="s">
        <v>852</v>
      </c>
      <c r="G127" s="16">
        <v>2.48</v>
      </c>
      <c r="H127" s="16">
        <v>1.95</v>
      </c>
      <c r="I127" s="16">
        <v>0</v>
      </c>
      <c r="J127" s="16">
        <v>0</v>
      </c>
      <c r="K127" s="17">
        <v>0.06</v>
      </c>
      <c r="L127" s="12">
        <v>4.5</v>
      </c>
      <c r="M127" s="12">
        <v>9.5</v>
      </c>
      <c r="N127" s="7" t="s">
        <v>200</v>
      </c>
      <c r="O127" s="7" t="s">
        <v>648</v>
      </c>
      <c r="P127" s="7" t="s">
        <v>278</v>
      </c>
      <c r="Q127" s="4" t="s">
        <v>954</v>
      </c>
    </row>
    <row r="128" spans="1:17" ht="30" customHeight="1">
      <c r="A128" s="4" t="s">
        <v>951</v>
      </c>
      <c r="B128" s="7" t="s">
        <v>955</v>
      </c>
      <c r="C128" s="4" t="s">
        <v>956</v>
      </c>
      <c r="D128" s="7" t="s">
        <v>817</v>
      </c>
      <c r="E128" s="10">
        <v>0.02</v>
      </c>
      <c r="F128" s="7" t="s">
        <v>852</v>
      </c>
      <c r="G128" s="16">
        <v>2.48</v>
      </c>
      <c r="H128" s="16">
        <v>1.95</v>
      </c>
      <c r="I128" s="16">
        <v>0.76</v>
      </c>
      <c r="J128" s="7" t="s">
        <v>852</v>
      </c>
      <c r="K128" s="17">
        <v>0.06</v>
      </c>
      <c r="L128" s="12">
        <v>5.5</v>
      </c>
      <c r="M128" s="12">
        <v>12</v>
      </c>
      <c r="N128" s="7" t="s">
        <v>200</v>
      </c>
      <c r="O128" s="7" t="s">
        <v>648</v>
      </c>
      <c r="P128" s="7" t="s">
        <v>278</v>
      </c>
      <c r="Q128" s="4" t="s">
        <v>957</v>
      </c>
    </row>
    <row r="129" spans="1:17" ht="18" customHeight="1">
      <c r="A129" s="9" t="s">
        <v>958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30" customHeight="1">
      <c r="A130" s="4" t="s">
        <v>958</v>
      </c>
      <c r="B130" s="7" t="s">
        <v>959</v>
      </c>
      <c r="C130" s="4" t="s">
        <v>960</v>
      </c>
      <c r="D130" s="7" t="s">
        <v>710</v>
      </c>
      <c r="E130" s="10">
        <v>45</v>
      </c>
      <c r="F130" s="7" t="s">
        <v>852</v>
      </c>
      <c r="G130" s="16">
        <v>6675.82</v>
      </c>
      <c r="H130" s="16">
        <v>3214.29</v>
      </c>
      <c r="I130" s="16">
        <v>23128.76</v>
      </c>
      <c r="J130" s="7" t="s">
        <v>852</v>
      </c>
      <c r="K130" s="17">
        <v>0.06</v>
      </c>
      <c r="L130" s="12">
        <v>35000</v>
      </c>
      <c r="M130" s="12">
        <v>65000</v>
      </c>
      <c r="N130" s="7" t="s">
        <v>194</v>
      </c>
      <c r="O130" s="7" t="s">
        <v>648</v>
      </c>
      <c r="P130" s="7" t="s">
        <v>302</v>
      </c>
      <c r="Q130" s="4" t="s">
        <v>961</v>
      </c>
    </row>
    <row r="131" spans="1:17" ht="30" customHeight="1">
      <c r="A131" s="4" t="s">
        <v>958</v>
      </c>
      <c r="B131" s="7" t="s">
        <v>962</v>
      </c>
      <c r="C131" s="4" t="s">
        <v>963</v>
      </c>
      <c r="D131" s="7" t="s">
        <v>710</v>
      </c>
      <c r="E131" s="10">
        <v>55</v>
      </c>
      <c r="F131" s="7" t="s">
        <v>852</v>
      </c>
      <c r="G131" s="16">
        <v>8159.34</v>
      </c>
      <c r="H131" s="16">
        <v>3928.57</v>
      </c>
      <c r="I131" s="16">
        <v>30364.92</v>
      </c>
      <c r="J131" s="7" t="s">
        <v>852</v>
      </c>
      <c r="K131" s="17">
        <v>0.06</v>
      </c>
      <c r="L131" s="12">
        <v>45000</v>
      </c>
      <c r="M131" s="12">
        <v>85000</v>
      </c>
      <c r="N131" s="7" t="s">
        <v>194</v>
      </c>
      <c r="O131" s="7" t="s">
        <v>648</v>
      </c>
      <c r="P131" s="7" t="s">
        <v>302</v>
      </c>
      <c r="Q131" s="4" t="s">
        <v>964</v>
      </c>
    </row>
    <row r="132" spans="1:17" ht="30" customHeight="1">
      <c r="A132" s="4" t="s">
        <v>958</v>
      </c>
      <c r="B132" s="7" t="s">
        <v>965</v>
      </c>
      <c r="C132" s="4" t="s">
        <v>966</v>
      </c>
      <c r="D132" s="7" t="s">
        <v>710</v>
      </c>
      <c r="E132" s="10">
        <v>18</v>
      </c>
      <c r="F132" s="7" t="s">
        <v>852</v>
      </c>
      <c r="G132" s="16">
        <v>2571.43</v>
      </c>
      <c r="H132" s="16">
        <v>989.01</v>
      </c>
      <c r="I132" s="16">
        <v>2571.64</v>
      </c>
      <c r="J132" s="7" t="s">
        <v>852</v>
      </c>
      <c r="K132" s="17">
        <v>0.06</v>
      </c>
      <c r="L132" s="12">
        <v>6500</v>
      </c>
      <c r="M132" s="12">
        <v>12500</v>
      </c>
      <c r="N132" s="7" t="s">
        <v>194</v>
      </c>
      <c r="O132" s="7" t="s">
        <v>648</v>
      </c>
      <c r="P132" s="7" t="s">
        <v>306</v>
      </c>
      <c r="Q132" s="4" t="s">
        <v>967</v>
      </c>
    </row>
    <row r="133" spans="1:17" ht="30" customHeight="1">
      <c r="A133" s="4" t="s">
        <v>958</v>
      </c>
      <c r="B133" s="7" t="s">
        <v>968</v>
      </c>
      <c r="C133" s="4" t="s">
        <v>969</v>
      </c>
      <c r="D133" s="7" t="s">
        <v>710</v>
      </c>
      <c r="E133" s="10">
        <v>22</v>
      </c>
      <c r="F133" s="7" t="s">
        <v>852</v>
      </c>
      <c r="G133" s="16">
        <v>3142.86</v>
      </c>
      <c r="H133" s="16">
        <v>1208.79</v>
      </c>
      <c r="I133" s="16">
        <v>3667.22</v>
      </c>
      <c r="J133" s="7" t="s">
        <v>852</v>
      </c>
      <c r="K133" s="17">
        <v>0.06</v>
      </c>
      <c r="L133" s="12">
        <v>8500</v>
      </c>
      <c r="M133" s="12">
        <v>16000</v>
      </c>
      <c r="N133" s="7" t="s">
        <v>194</v>
      </c>
      <c r="O133" s="7" t="s">
        <v>648</v>
      </c>
      <c r="P133" s="7" t="s">
        <v>306</v>
      </c>
      <c r="Q133" s="4" t="s">
        <v>970</v>
      </c>
    </row>
    <row r="134" spans="1:17" ht="30" customHeight="1">
      <c r="A134" s="4" t="s">
        <v>958</v>
      </c>
      <c r="B134" s="7" t="s">
        <v>971</v>
      </c>
      <c r="C134" s="4" t="s">
        <v>972</v>
      </c>
      <c r="D134" s="7" t="s">
        <v>710</v>
      </c>
      <c r="E134" s="10">
        <v>12</v>
      </c>
      <c r="F134" s="7" t="s">
        <v>852</v>
      </c>
      <c r="G134" s="16">
        <v>1846.15</v>
      </c>
      <c r="H134" s="16">
        <v>1054.95</v>
      </c>
      <c r="I134" s="16">
        <v>1344.18</v>
      </c>
      <c r="J134" s="7" t="s">
        <v>852</v>
      </c>
      <c r="K134" s="17">
        <v>0.06</v>
      </c>
      <c r="L134" s="12">
        <v>4500</v>
      </c>
      <c r="M134" s="12">
        <v>8500</v>
      </c>
      <c r="N134" s="7" t="s">
        <v>198</v>
      </c>
      <c r="O134" s="7" t="s">
        <v>648</v>
      </c>
      <c r="P134" s="7" t="s">
        <v>309</v>
      </c>
      <c r="Q134" s="4" t="s">
        <v>973</v>
      </c>
    </row>
    <row r="135" spans="1:17" ht="30" customHeight="1">
      <c r="A135" s="4" t="s">
        <v>958</v>
      </c>
      <c r="B135" s="7" t="s">
        <v>974</v>
      </c>
      <c r="C135" s="4" t="s">
        <v>975</v>
      </c>
      <c r="D135" s="7" t="s">
        <v>710</v>
      </c>
      <c r="E135" s="10">
        <v>20</v>
      </c>
      <c r="F135" s="7" t="s">
        <v>852</v>
      </c>
      <c r="G135" s="16">
        <v>3076.92</v>
      </c>
      <c r="H135" s="16">
        <v>1758.24</v>
      </c>
      <c r="I135" s="16">
        <v>4127.1</v>
      </c>
      <c r="J135" s="7" t="s">
        <v>852</v>
      </c>
      <c r="K135" s="17">
        <v>0.06</v>
      </c>
      <c r="L135" s="12">
        <v>9500</v>
      </c>
      <c r="M135" s="12">
        <v>18000</v>
      </c>
      <c r="N135" s="7" t="s">
        <v>198</v>
      </c>
      <c r="O135" s="7" t="s">
        <v>648</v>
      </c>
      <c r="P135" s="7" t="s">
        <v>309</v>
      </c>
      <c r="Q135" s="4" t="s">
        <v>976</v>
      </c>
    </row>
    <row r="136" spans="1:17" ht="30" customHeight="1">
      <c r="A136" s="4" t="s">
        <v>958</v>
      </c>
      <c r="B136" s="7" t="s">
        <v>977</v>
      </c>
      <c r="C136" s="4" t="s">
        <v>978</v>
      </c>
      <c r="D136" s="7" t="s">
        <v>716</v>
      </c>
      <c r="E136" s="10">
        <v>0.5</v>
      </c>
      <c r="F136" s="7" t="s">
        <v>852</v>
      </c>
      <c r="G136" s="16">
        <v>71.43000000000001</v>
      </c>
      <c r="H136" s="16">
        <v>27.47</v>
      </c>
      <c r="I136" s="16">
        <v>0</v>
      </c>
      <c r="J136" s="16">
        <v>0</v>
      </c>
      <c r="K136" s="17">
        <v>0.06</v>
      </c>
      <c r="L136" s="12">
        <v>85</v>
      </c>
      <c r="M136" s="12">
        <v>165</v>
      </c>
      <c r="N136" s="7" t="s">
        <v>198</v>
      </c>
      <c r="O136" s="7" t="s">
        <v>648</v>
      </c>
      <c r="P136" s="7" t="s">
        <v>306</v>
      </c>
      <c r="Q136" s="4" t="s">
        <v>979</v>
      </c>
    </row>
    <row r="137" spans="1:17" ht="30" customHeight="1">
      <c r="A137" s="4" t="s">
        <v>958</v>
      </c>
      <c r="B137" s="7" t="s">
        <v>980</v>
      </c>
      <c r="C137" s="4" t="s">
        <v>981</v>
      </c>
      <c r="D137" s="7" t="s">
        <v>682</v>
      </c>
      <c r="E137" s="10">
        <v>1.5</v>
      </c>
      <c r="F137" s="7" t="s">
        <v>852</v>
      </c>
      <c r="G137" s="16">
        <v>214.29</v>
      </c>
      <c r="H137" s="16">
        <v>82.42</v>
      </c>
      <c r="I137" s="16">
        <v>0</v>
      </c>
      <c r="J137" s="16">
        <v>0</v>
      </c>
      <c r="K137" s="17">
        <v>0.06</v>
      </c>
      <c r="L137" s="12">
        <v>185</v>
      </c>
      <c r="M137" s="12">
        <v>320</v>
      </c>
      <c r="N137" s="7" t="s">
        <v>198</v>
      </c>
      <c r="O137" s="7" t="s">
        <v>200</v>
      </c>
      <c r="P137" s="7" t="s">
        <v>306</v>
      </c>
      <c r="Q137" s="4" t="s">
        <v>982</v>
      </c>
    </row>
    <row r="138" spans="1:17" ht="30" customHeight="1">
      <c r="A138" s="4" t="s">
        <v>958</v>
      </c>
      <c r="B138" s="7" t="s">
        <v>983</v>
      </c>
      <c r="C138" s="4" t="s">
        <v>984</v>
      </c>
      <c r="D138" s="7" t="s">
        <v>682</v>
      </c>
      <c r="E138" s="10">
        <v>1</v>
      </c>
      <c r="F138" s="7" t="s">
        <v>852</v>
      </c>
      <c r="G138" s="16">
        <v>142.86</v>
      </c>
      <c r="H138" s="16">
        <v>54.95</v>
      </c>
      <c r="I138" s="16">
        <v>0</v>
      </c>
      <c r="J138" s="16">
        <v>0</v>
      </c>
      <c r="K138" s="17">
        <v>0.06</v>
      </c>
      <c r="L138" s="12">
        <v>145</v>
      </c>
      <c r="M138" s="12">
        <v>240</v>
      </c>
      <c r="N138" s="7" t="s">
        <v>198</v>
      </c>
      <c r="O138" s="7" t="s">
        <v>200</v>
      </c>
      <c r="P138" s="7" t="s">
        <v>306</v>
      </c>
      <c r="Q138" s="4" t="s">
        <v>985</v>
      </c>
    </row>
    <row r="139" spans="1:17" ht="30" customHeight="1">
      <c r="A139" s="4" t="s">
        <v>958</v>
      </c>
      <c r="B139" s="7" t="s">
        <v>986</v>
      </c>
      <c r="C139" s="4" t="s">
        <v>987</v>
      </c>
      <c r="D139" s="7" t="s">
        <v>716</v>
      </c>
      <c r="E139" s="10">
        <v>4.5</v>
      </c>
      <c r="F139" s="7" t="s">
        <v>852</v>
      </c>
      <c r="G139" s="16">
        <v>642.86</v>
      </c>
      <c r="H139" s="16">
        <v>247.25</v>
      </c>
      <c r="I139" s="16">
        <v>0</v>
      </c>
      <c r="J139" s="16">
        <v>0</v>
      </c>
      <c r="K139" s="17">
        <v>0.06</v>
      </c>
      <c r="L139" s="12">
        <v>650</v>
      </c>
      <c r="M139" s="12">
        <v>1250</v>
      </c>
      <c r="N139" s="7" t="s">
        <v>198</v>
      </c>
      <c r="O139" s="7" t="s">
        <v>648</v>
      </c>
      <c r="P139" s="7" t="s">
        <v>306</v>
      </c>
      <c r="Q139" s="4" t="s">
        <v>988</v>
      </c>
    </row>
    <row r="140" spans="1:17" ht="30" customHeight="1">
      <c r="A140" s="4" t="s">
        <v>958</v>
      </c>
      <c r="B140" s="7" t="s">
        <v>989</v>
      </c>
      <c r="C140" s="4" t="s">
        <v>990</v>
      </c>
      <c r="D140" s="7" t="s">
        <v>817</v>
      </c>
      <c r="E140" s="10">
        <v>0.1</v>
      </c>
      <c r="F140" s="7" t="s">
        <v>852</v>
      </c>
      <c r="G140" s="16">
        <v>14.29</v>
      </c>
      <c r="H140" s="16">
        <v>5.49</v>
      </c>
      <c r="I140" s="16">
        <v>0</v>
      </c>
      <c r="J140" s="16">
        <v>0</v>
      </c>
      <c r="K140" s="17">
        <v>0.06</v>
      </c>
      <c r="L140" s="12">
        <v>18</v>
      </c>
      <c r="M140" s="12">
        <v>32</v>
      </c>
      <c r="N140" s="7" t="s">
        <v>198</v>
      </c>
      <c r="O140" s="7" t="s">
        <v>648</v>
      </c>
      <c r="P140" s="7" t="s">
        <v>306</v>
      </c>
      <c r="Q140" s="4" t="s">
        <v>991</v>
      </c>
    </row>
    <row r="141" spans="1:17" ht="30" customHeight="1">
      <c r="A141" s="4" t="s">
        <v>958</v>
      </c>
      <c r="B141" s="7" t="s">
        <v>992</v>
      </c>
      <c r="C141" s="4" t="s">
        <v>993</v>
      </c>
      <c r="D141" s="7" t="s">
        <v>647</v>
      </c>
      <c r="E141" s="10">
        <v>0.15</v>
      </c>
      <c r="F141" s="7" t="s">
        <v>852</v>
      </c>
      <c r="G141" s="16">
        <v>19.78</v>
      </c>
      <c r="H141" s="16">
        <v>8.24</v>
      </c>
      <c r="I141" s="16">
        <v>14.43</v>
      </c>
      <c r="J141" s="7" t="s">
        <v>852</v>
      </c>
      <c r="K141" s="17">
        <v>0.06</v>
      </c>
      <c r="L141" s="12">
        <v>45</v>
      </c>
      <c r="M141" s="12">
        <v>95</v>
      </c>
      <c r="N141" s="7" t="s">
        <v>198</v>
      </c>
      <c r="O141" s="7" t="s">
        <v>648</v>
      </c>
      <c r="P141" s="7" t="s">
        <v>312</v>
      </c>
      <c r="Q141" s="4" t="s">
        <v>994</v>
      </c>
    </row>
    <row r="142" spans="1:17" ht="18" customHeight="1">
      <c r="A142" s="9" t="s">
        <v>995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30" customHeight="1">
      <c r="A143" s="4" t="s">
        <v>995</v>
      </c>
      <c r="B143" s="7" t="s">
        <v>996</v>
      </c>
      <c r="C143" s="4" t="s">
        <v>997</v>
      </c>
      <c r="D143" s="7" t="s">
        <v>647</v>
      </c>
      <c r="E143" s="10">
        <v>0.15</v>
      </c>
      <c r="F143" s="10">
        <v>0.91</v>
      </c>
      <c r="G143" s="16">
        <v>18.69</v>
      </c>
      <c r="H143" s="16">
        <v>14.05</v>
      </c>
      <c r="I143" s="16">
        <v>3.11</v>
      </c>
      <c r="J143" s="7" t="s">
        <v>852</v>
      </c>
      <c r="K143" s="17">
        <v>0.06</v>
      </c>
      <c r="L143" s="12">
        <v>38</v>
      </c>
      <c r="M143" s="12">
        <v>65</v>
      </c>
      <c r="N143" s="7" t="s">
        <v>198</v>
      </c>
      <c r="O143" s="7" t="s">
        <v>200</v>
      </c>
      <c r="P143" s="7" t="s">
        <v>276</v>
      </c>
      <c r="Q143" s="4" t="s">
        <v>998</v>
      </c>
    </row>
    <row r="144" spans="1:17" ht="30" customHeight="1">
      <c r="A144" s="4" t="s">
        <v>995</v>
      </c>
      <c r="B144" s="7" t="s">
        <v>999</v>
      </c>
      <c r="C144" s="4" t="s">
        <v>1000</v>
      </c>
      <c r="D144" s="7" t="s">
        <v>647</v>
      </c>
      <c r="E144" s="10">
        <v>0.2</v>
      </c>
      <c r="F144" s="10">
        <v>0.91</v>
      </c>
      <c r="G144" s="16">
        <v>24.92</v>
      </c>
      <c r="H144" s="16">
        <v>18.74</v>
      </c>
      <c r="I144" s="16">
        <v>8.23</v>
      </c>
      <c r="J144" s="7" t="s">
        <v>852</v>
      </c>
      <c r="K144" s="17">
        <v>0.06</v>
      </c>
      <c r="L144" s="12">
        <v>55</v>
      </c>
      <c r="M144" s="12">
        <v>95</v>
      </c>
      <c r="N144" s="7" t="s">
        <v>198</v>
      </c>
      <c r="O144" s="7" t="s">
        <v>200</v>
      </c>
      <c r="P144" s="7" t="s">
        <v>276</v>
      </c>
      <c r="Q144" s="4" t="s">
        <v>1001</v>
      </c>
    </row>
    <row r="145" spans="1:17" ht="30" customHeight="1">
      <c r="A145" s="4" t="s">
        <v>995</v>
      </c>
      <c r="B145" s="7" t="s">
        <v>1002</v>
      </c>
      <c r="C145" s="4" t="s">
        <v>1003</v>
      </c>
      <c r="D145" s="7" t="s">
        <v>647</v>
      </c>
      <c r="E145" s="10">
        <v>0.18</v>
      </c>
      <c r="F145" s="10">
        <v>0.91</v>
      </c>
      <c r="G145" s="16">
        <v>22.43</v>
      </c>
      <c r="H145" s="16">
        <v>16.86</v>
      </c>
      <c r="I145" s="16">
        <v>22.03</v>
      </c>
      <c r="J145" s="7" t="s">
        <v>852</v>
      </c>
      <c r="K145" s="17">
        <v>0.06</v>
      </c>
      <c r="L145" s="12">
        <v>65</v>
      </c>
      <c r="M145" s="12">
        <v>115</v>
      </c>
      <c r="N145" s="7" t="s">
        <v>198</v>
      </c>
      <c r="O145" s="7" t="s">
        <v>200</v>
      </c>
      <c r="P145" s="7" t="s">
        <v>276</v>
      </c>
      <c r="Q145" s="4" t="s">
        <v>1004</v>
      </c>
    </row>
    <row r="146" spans="1:17" ht="30" customHeight="1">
      <c r="A146" s="4" t="s">
        <v>995</v>
      </c>
      <c r="B146" s="7" t="s">
        <v>1005</v>
      </c>
      <c r="C146" s="4" t="s">
        <v>1006</v>
      </c>
      <c r="D146" s="7" t="s">
        <v>647</v>
      </c>
      <c r="E146" s="10">
        <v>0.1</v>
      </c>
      <c r="F146" s="10">
        <v>0.91</v>
      </c>
      <c r="G146" s="16">
        <v>12.39</v>
      </c>
      <c r="H146" s="16">
        <v>9.77</v>
      </c>
      <c r="I146" s="16">
        <v>0</v>
      </c>
      <c r="J146" s="16">
        <v>0</v>
      </c>
      <c r="K146" s="17">
        <v>0.06</v>
      </c>
      <c r="L146" s="12">
        <v>22</v>
      </c>
      <c r="M146" s="12">
        <v>38</v>
      </c>
      <c r="N146" s="7" t="s">
        <v>198</v>
      </c>
      <c r="O146" s="7" t="s">
        <v>648</v>
      </c>
      <c r="P146" s="7" t="s">
        <v>278</v>
      </c>
      <c r="Q146" s="4" t="s">
        <v>1007</v>
      </c>
    </row>
    <row r="147" spans="1:17" ht="30" customHeight="1">
      <c r="A147" s="4" t="s">
        <v>995</v>
      </c>
      <c r="B147" s="7" t="s">
        <v>1008</v>
      </c>
      <c r="C147" s="4" t="s">
        <v>1009</v>
      </c>
      <c r="D147" s="7" t="s">
        <v>647</v>
      </c>
      <c r="E147" s="10">
        <v>0.12</v>
      </c>
      <c r="F147" s="10">
        <v>0.91</v>
      </c>
      <c r="G147" s="16">
        <v>14.87</v>
      </c>
      <c r="H147" s="16">
        <v>11.72</v>
      </c>
      <c r="I147" s="16">
        <v>0</v>
      </c>
      <c r="J147" s="16">
        <v>0</v>
      </c>
      <c r="K147" s="17">
        <v>0.06</v>
      </c>
      <c r="L147" s="12">
        <v>28</v>
      </c>
      <c r="M147" s="12">
        <v>48</v>
      </c>
      <c r="N147" s="7" t="s">
        <v>198</v>
      </c>
      <c r="O147" s="7" t="s">
        <v>200</v>
      </c>
      <c r="P147" s="7" t="s">
        <v>278</v>
      </c>
      <c r="Q147" s="4" t="s">
        <v>1010</v>
      </c>
    </row>
    <row r="148" spans="1:17" ht="30" customHeight="1">
      <c r="A148" s="4" t="s">
        <v>995</v>
      </c>
      <c r="B148" s="7" t="s">
        <v>1011</v>
      </c>
      <c r="C148" s="4" t="s">
        <v>1012</v>
      </c>
      <c r="D148" s="7" t="s">
        <v>647</v>
      </c>
      <c r="E148" s="10">
        <v>0.11</v>
      </c>
      <c r="F148" s="10">
        <v>0.91</v>
      </c>
      <c r="G148" s="16">
        <v>13.63</v>
      </c>
      <c r="H148" s="16">
        <v>10.74</v>
      </c>
      <c r="I148" s="16">
        <v>0</v>
      </c>
      <c r="J148" s="16">
        <v>0</v>
      </c>
      <c r="K148" s="17">
        <v>0.06</v>
      </c>
      <c r="L148" s="12">
        <v>25</v>
      </c>
      <c r="M148" s="12">
        <v>42</v>
      </c>
      <c r="N148" s="7" t="s">
        <v>198</v>
      </c>
      <c r="O148" s="7" t="s">
        <v>648</v>
      </c>
      <c r="P148" s="7" t="s">
        <v>278</v>
      </c>
      <c r="Q148" s="4" t="s">
        <v>1013</v>
      </c>
    </row>
    <row r="149" spans="1:17" ht="30" customHeight="1">
      <c r="A149" s="4" t="s">
        <v>995</v>
      </c>
      <c r="B149" s="7" t="s">
        <v>1014</v>
      </c>
      <c r="C149" s="4" t="s">
        <v>1015</v>
      </c>
      <c r="D149" s="7" t="s">
        <v>647</v>
      </c>
      <c r="E149" s="10">
        <v>0.4</v>
      </c>
      <c r="F149" s="10">
        <v>0.88</v>
      </c>
      <c r="G149" s="16">
        <v>52.73</v>
      </c>
      <c r="H149" s="16">
        <v>13.24</v>
      </c>
      <c r="I149" s="16">
        <v>37.8</v>
      </c>
      <c r="J149" s="7" t="s">
        <v>852</v>
      </c>
      <c r="K149" s="17">
        <v>0.06</v>
      </c>
      <c r="L149" s="12">
        <v>110</v>
      </c>
      <c r="M149" s="12">
        <v>180</v>
      </c>
      <c r="N149" s="7" t="s">
        <v>198</v>
      </c>
      <c r="O149" s="7" t="s">
        <v>648</v>
      </c>
      <c r="P149" s="7" t="s">
        <v>280</v>
      </c>
      <c r="Q149" s="4" t="s">
        <v>1016</v>
      </c>
    </row>
    <row r="150" spans="1:17" ht="30" customHeight="1">
      <c r="A150" s="4" t="s">
        <v>995</v>
      </c>
      <c r="B150" s="7" t="s">
        <v>1017</v>
      </c>
      <c r="C150" s="4" t="s">
        <v>1018</v>
      </c>
      <c r="D150" s="7" t="s">
        <v>710</v>
      </c>
      <c r="E150" s="10">
        <v>1</v>
      </c>
      <c r="F150" s="10">
        <v>0.91</v>
      </c>
      <c r="G150" s="16">
        <v>127.47</v>
      </c>
      <c r="H150" s="16">
        <v>32</v>
      </c>
      <c r="I150" s="16">
        <v>0</v>
      </c>
      <c r="J150" s="16">
        <v>0</v>
      </c>
      <c r="K150" s="17">
        <v>0.06</v>
      </c>
      <c r="L150" s="12">
        <v>165</v>
      </c>
      <c r="M150" s="12">
        <v>285</v>
      </c>
      <c r="N150" s="7" t="s">
        <v>198</v>
      </c>
      <c r="O150" s="7" t="s">
        <v>198</v>
      </c>
      <c r="P150" s="7" t="s">
        <v>280</v>
      </c>
      <c r="Q150" s="4" t="s">
        <v>1019</v>
      </c>
    </row>
    <row r="151" spans="1:17" ht="30" customHeight="1">
      <c r="A151" s="4" t="s">
        <v>995</v>
      </c>
      <c r="B151" s="7" t="s">
        <v>1020</v>
      </c>
      <c r="C151" s="4" t="s">
        <v>1021</v>
      </c>
      <c r="D151" s="7" t="s">
        <v>716</v>
      </c>
      <c r="E151" s="10">
        <v>16</v>
      </c>
      <c r="F151" s="7" t="s">
        <v>852</v>
      </c>
      <c r="G151" s="16">
        <v>2074.73</v>
      </c>
      <c r="H151" s="16">
        <v>738.46</v>
      </c>
      <c r="I151" s="16">
        <v>488.7</v>
      </c>
      <c r="J151" s="7" t="s">
        <v>852</v>
      </c>
      <c r="K151" s="17">
        <v>0.06</v>
      </c>
      <c r="L151" s="12">
        <v>3500</v>
      </c>
      <c r="M151" s="12">
        <v>6500</v>
      </c>
      <c r="N151" s="7" t="s">
        <v>198</v>
      </c>
      <c r="O151" s="7" t="s">
        <v>648</v>
      </c>
      <c r="P151" s="7" t="s">
        <v>315</v>
      </c>
      <c r="Q151" s="4" t="s">
        <v>1022</v>
      </c>
    </row>
    <row r="152" spans="1:17" ht="30" customHeight="1">
      <c r="A152" s="4" t="s">
        <v>995</v>
      </c>
      <c r="B152" s="7" t="s">
        <v>1023</v>
      </c>
      <c r="C152" s="4" t="s">
        <v>1024</v>
      </c>
      <c r="D152" s="7" t="s">
        <v>716</v>
      </c>
      <c r="E152" s="10">
        <v>24</v>
      </c>
      <c r="F152" s="7" t="s">
        <v>852</v>
      </c>
      <c r="G152" s="16">
        <v>3112.09</v>
      </c>
      <c r="H152" s="16">
        <v>1107.69</v>
      </c>
      <c r="I152" s="16">
        <v>3799.09</v>
      </c>
      <c r="J152" s="7" t="s">
        <v>852</v>
      </c>
      <c r="K152" s="17">
        <v>0.06</v>
      </c>
      <c r="L152" s="12">
        <v>8500</v>
      </c>
      <c r="M152" s="12">
        <v>16000</v>
      </c>
      <c r="N152" s="7" t="s">
        <v>198</v>
      </c>
      <c r="O152" s="7" t="s">
        <v>648</v>
      </c>
      <c r="P152" s="7" t="s">
        <v>315</v>
      </c>
      <c r="Q152" s="4" t="s">
        <v>1025</v>
      </c>
    </row>
    <row r="153" spans="1:17" ht="30" customHeight="1">
      <c r="A153" s="4" t="s">
        <v>995</v>
      </c>
      <c r="B153" s="7" t="s">
        <v>1026</v>
      </c>
      <c r="C153" s="4" t="s">
        <v>1027</v>
      </c>
      <c r="D153" s="7" t="s">
        <v>716</v>
      </c>
      <c r="E153" s="10">
        <v>6</v>
      </c>
      <c r="F153" s="7" t="s">
        <v>852</v>
      </c>
      <c r="G153" s="16">
        <v>778.02</v>
      </c>
      <c r="H153" s="16">
        <v>276.92</v>
      </c>
      <c r="I153" s="16">
        <v>0</v>
      </c>
      <c r="J153" s="16">
        <v>0</v>
      </c>
      <c r="K153" s="17">
        <v>0.06</v>
      </c>
      <c r="L153" s="12">
        <v>850</v>
      </c>
      <c r="M153" s="12">
        <v>1650</v>
      </c>
      <c r="N153" s="7" t="s">
        <v>198</v>
      </c>
      <c r="O153" s="7" t="s">
        <v>648</v>
      </c>
      <c r="P153" s="7" t="s">
        <v>315</v>
      </c>
      <c r="Q153" s="4" t="s">
        <v>1028</v>
      </c>
    </row>
    <row r="154" spans="1:17" ht="30" customHeight="1">
      <c r="A154" s="4" t="s">
        <v>995</v>
      </c>
      <c r="B154" s="7" t="s">
        <v>1029</v>
      </c>
      <c r="C154" s="4" t="s">
        <v>1030</v>
      </c>
      <c r="D154" s="7" t="s">
        <v>682</v>
      </c>
      <c r="E154" s="10">
        <v>6</v>
      </c>
      <c r="F154" s="10">
        <v>0.9</v>
      </c>
      <c r="G154" s="16">
        <v>738.33</v>
      </c>
      <c r="H154" s="16">
        <v>173.33</v>
      </c>
      <c r="I154" s="16">
        <v>0</v>
      </c>
      <c r="J154" s="16">
        <v>0</v>
      </c>
      <c r="K154" s="17">
        <v>0.06</v>
      </c>
      <c r="L154" s="12">
        <v>450</v>
      </c>
      <c r="M154" s="12">
        <v>750</v>
      </c>
      <c r="N154" s="7" t="s">
        <v>198</v>
      </c>
      <c r="O154" s="7" t="s">
        <v>198</v>
      </c>
      <c r="P154" s="7" t="s">
        <v>282</v>
      </c>
      <c r="Q154" s="4" t="s">
        <v>1031</v>
      </c>
    </row>
    <row r="155" spans="1:17" ht="30" customHeight="1">
      <c r="A155" s="4" t="s">
        <v>995</v>
      </c>
      <c r="B155" s="7" t="s">
        <v>1032</v>
      </c>
      <c r="C155" s="4" t="s">
        <v>1033</v>
      </c>
      <c r="D155" s="7" t="s">
        <v>716</v>
      </c>
      <c r="E155" s="7" t="s">
        <v>852</v>
      </c>
      <c r="F155" s="7" t="s">
        <v>852</v>
      </c>
      <c r="G155" s="7" t="s">
        <v>852</v>
      </c>
      <c r="H155" s="7" t="s">
        <v>852</v>
      </c>
      <c r="I155" s="7" t="s">
        <v>852</v>
      </c>
      <c r="J155" s="16">
        <v>1125000</v>
      </c>
      <c r="K155" s="17">
        <v>0.05</v>
      </c>
      <c r="L155" s="12">
        <v>750000</v>
      </c>
      <c r="M155" s="12">
        <v>1500000</v>
      </c>
      <c r="N155" s="7" t="s">
        <v>198</v>
      </c>
      <c r="O155" s="7" t="s">
        <v>648</v>
      </c>
      <c r="P155" s="7" t="s">
        <v>321</v>
      </c>
      <c r="Q155" s="4" t="s">
        <v>1034</v>
      </c>
    </row>
    <row r="156" spans="1:17" ht="18" customHeight="1">
      <c r="A156" s="9" t="s">
        <v>1035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30" customHeight="1">
      <c r="A157" s="4" t="s">
        <v>1035</v>
      </c>
      <c r="B157" s="7" t="s">
        <v>1036</v>
      </c>
      <c r="C157" s="4" t="s">
        <v>1037</v>
      </c>
      <c r="D157" s="7" t="s">
        <v>682</v>
      </c>
      <c r="E157" s="10">
        <v>0.15</v>
      </c>
      <c r="F157" s="10">
        <v>0.91</v>
      </c>
      <c r="G157" s="16">
        <v>18.69</v>
      </c>
      <c r="H157" s="16">
        <v>14.05</v>
      </c>
      <c r="I157" s="16">
        <v>0</v>
      </c>
      <c r="J157" s="16">
        <v>0</v>
      </c>
      <c r="K157" s="17">
        <v>0.06</v>
      </c>
      <c r="L157" s="12">
        <v>18</v>
      </c>
      <c r="M157" s="12">
        <v>32</v>
      </c>
      <c r="N157" s="7" t="s">
        <v>198</v>
      </c>
      <c r="O157" s="7" t="s">
        <v>648</v>
      </c>
      <c r="P157" s="7" t="s">
        <v>276</v>
      </c>
      <c r="Q157" s="4" t="s">
        <v>1038</v>
      </c>
    </row>
    <row r="158" spans="1:17" ht="30" customHeight="1">
      <c r="A158" s="4" t="s">
        <v>1035</v>
      </c>
      <c r="B158" s="7" t="s">
        <v>1039</v>
      </c>
      <c r="C158" s="4" t="s">
        <v>1040</v>
      </c>
      <c r="D158" s="7" t="s">
        <v>682</v>
      </c>
      <c r="E158" s="10">
        <v>0.3</v>
      </c>
      <c r="F158" s="10">
        <v>0.91</v>
      </c>
      <c r="G158" s="16">
        <v>37.38</v>
      </c>
      <c r="H158" s="16">
        <v>28.1</v>
      </c>
      <c r="I158" s="16">
        <v>0</v>
      </c>
      <c r="J158" s="16">
        <v>0</v>
      </c>
      <c r="K158" s="17">
        <v>0.06</v>
      </c>
      <c r="L158" s="12">
        <v>28</v>
      </c>
      <c r="M158" s="12">
        <v>48</v>
      </c>
      <c r="N158" s="7" t="s">
        <v>198</v>
      </c>
      <c r="O158" s="7" t="s">
        <v>200</v>
      </c>
      <c r="P158" s="7" t="s">
        <v>276</v>
      </c>
      <c r="Q158" s="4" t="s">
        <v>1041</v>
      </c>
    </row>
    <row r="159" spans="1:17" ht="30" customHeight="1">
      <c r="A159" s="4" t="s">
        <v>1035</v>
      </c>
      <c r="B159" s="7" t="s">
        <v>1042</v>
      </c>
      <c r="C159" s="4" t="s">
        <v>1043</v>
      </c>
      <c r="D159" s="7" t="s">
        <v>682</v>
      </c>
      <c r="E159" s="10">
        <v>0.2</v>
      </c>
      <c r="F159" s="10">
        <v>0.91</v>
      </c>
      <c r="G159" s="16">
        <v>25.49</v>
      </c>
      <c r="H159" s="16">
        <v>6.4</v>
      </c>
      <c r="I159" s="16">
        <v>0</v>
      </c>
      <c r="J159" s="16">
        <v>0</v>
      </c>
      <c r="K159" s="17">
        <v>0.06</v>
      </c>
      <c r="L159" s="12">
        <v>32</v>
      </c>
      <c r="M159" s="12">
        <v>55</v>
      </c>
      <c r="N159" s="7" t="s">
        <v>200</v>
      </c>
      <c r="O159" s="7" t="s">
        <v>200</v>
      </c>
      <c r="P159" s="7" t="s">
        <v>280</v>
      </c>
      <c r="Q159" s="4" t="s">
        <v>1044</v>
      </c>
    </row>
    <row r="160" spans="1:17" ht="30" customHeight="1">
      <c r="A160" s="4" t="s">
        <v>1035</v>
      </c>
      <c r="B160" s="7" t="s">
        <v>1045</v>
      </c>
      <c r="C160" s="4" t="s">
        <v>1046</v>
      </c>
      <c r="D160" s="7" t="s">
        <v>682</v>
      </c>
      <c r="E160" s="10">
        <v>0.18</v>
      </c>
      <c r="F160" s="10">
        <v>0.91</v>
      </c>
      <c r="G160" s="16">
        <v>22.95</v>
      </c>
      <c r="H160" s="16">
        <v>5.76</v>
      </c>
      <c r="I160" s="16">
        <v>0</v>
      </c>
      <c r="J160" s="16">
        <v>0</v>
      </c>
      <c r="K160" s="17">
        <v>0.06</v>
      </c>
      <c r="L160" s="12">
        <v>24</v>
      </c>
      <c r="M160" s="12">
        <v>42</v>
      </c>
      <c r="N160" s="7" t="s">
        <v>200</v>
      </c>
      <c r="O160" s="7" t="s">
        <v>200</v>
      </c>
      <c r="P160" s="7" t="s">
        <v>280</v>
      </c>
      <c r="Q160" s="4" t="s">
        <v>1047</v>
      </c>
    </row>
    <row r="161" spans="1:17" ht="30" customHeight="1">
      <c r="A161" s="4" t="s">
        <v>1035</v>
      </c>
      <c r="B161" s="7" t="s">
        <v>1048</v>
      </c>
      <c r="C161" s="4" t="s">
        <v>1049</v>
      </c>
      <c r="D161" s="7" t="s">
        <v>682</v>
      </c>
      <c r="E161" s="10">
        <v>0.08</v>
      </c>
      <c r="F161" s="10">
        <v>0.91</v>
      </c>
      <c r="G161" s="16">
        <v>10.2</v>
      </c>
      <c r="H161" s="16">
        <v>2.56</v>
      </c>
      <c r="I161" s="16">
        <v>4.22</v>
      </c>
      <c r="J161" s="7" t="s">
        <v>852</v>
      </c>
      <c r="K161" s="17">
        <v>0.06</v>
      </c>
      <c r="L161" s="12">
        <v>18</v>
      </c>
      <c r="M161" s="12">
        <v>28</v>
      </c>
      <c r="N161" s="7" t="s">
        <v>200</v>
      </c>
      <c r="O161" s="7" t="s">
        <v>200</v>
      </c>
      <c r="P161" s="7" t="s">
        <v>280</v>
      </c>
      <c r="Q161" s="4" t="s">
        <v>1050</v>
      </c>
    </row>
    <row r="162" spans="1:17" ht="30" customHeight="1">
      <c r="A162" s="4" t="s">
        <v>1035</v>
      </c>
      <c r="B162" s="7" t="s">
        <v>1051</v>
      </c>
      <c r="C162" s="4" t="s">
        <v>1052</v>
      </c>
      <c r="D162" s="7" t="s">
        <v>647</v>
      </c>
      <c r="E162" s="10">
        <v>0.3</v>
      </c>
      <c r="F162" s="10">
        <v>0.91</v>
      </c>
      <c r="G162" s="16">
        <v>38.24</v>
      </c>
      <c r="H162" s="16">
        <v>9.6</v>
      </c>
      <c r="I162" s="16">
        <v>4.05</v>
      </c>
      <c r="J162" s="7" t="s">
        <v>852</v>
      </c>
      <c r="K162" s="17">
        <v>0.06</v>
      </c>
      <c r="L162" s="12">
        <v>55</v>
      </c>
      <c r="M162" s="12">
        <v>95</v>
      </c>
      <c r="N162" s="7" t="s">
        <v>198</v>
      </c>
      <c r="O162" s="7" t="s">
        <v>648</v>
      </c>
      <c r="P162" s="7" t="s">
        <v>280</v>
      </c>
      <c r="Q162" s="4" t="s">
        <v>1053</v>
      </c>
    </row>
    <row r="163" spans="1:17" ht="30" customHeight="1">
      <c r="A163" s="4" t="s">
        <v>1035</v>
      </c>
      <c r="B163" s="7" t="s">
        <v>1054</v>
      </c>
      <c r="C163" s="4" t="s">
        <v>1055</v>
      </c>
      <c r="D163" s="7" t="s">
        <v>710</v>
      </c>
      <c r="E163" s="10">
        <v>1.5</v>
      </c>
      <c r="F163" s="10">
        <v>0.91</v>
      </c>
      <c r="G163" s="16">
        <v>191.21</v>
      </c>
      <c r="H163" s="16">
        <v>48</v>
      </c>
      <c r="I163" s="16">
        <v>0</v>
      </c>
      <c r="J163" s="16">
        <v>0</v>
      </c>
      <c r="K163" s="17">
        <v>0.06</v>
      </c>
      <c r="L163" s="12">
        <v>220</v>
      </c>
      <c r="M163" s="12">
        <v>360</v>
      </c>
      <c r="N163" s="7" t="s">
        <v>216</v>
      </c>
      <c r="O163" s="7" t="s">
        <v>200</v>
      </c>
      <c r="P163" s="7" t="s">
        <v>280</v>
      </c>
      <c r="Q163" s="4" t="s">
        <v>1056</v>
      </c>
    </row>
    <row r="164" spans="1:17" ht="30" customHeight="1">
      <c r="A164" s="4" t="s">
        <v>1035</v>
      </c>
      <c r="B164" s="7" t="s">
        <v>1057</v>
      </c>
      <c r="C164" s="4" t="s">
        <v>1058</v>
      </c>
      <c r="D164" s="7" t="s">
        <v>682</v>
      </c>
      <c r="E164" s="10">
        <v>0.5</v>
      </c>
      <c r="F164" s="10">
        <v>0.91</v>
      </c>
      <c r="G164" s="16">
        <v>63.74</v>
      </c>
      <c r="H164" s="16">
        <v>16</v>
      </c>
      <c r="I164" s="16">
        <v>0.45</v>
      </c>
      <c r="J164" s="7" t="s">
        <v>852</v>
      </c>
      <c r="K164" s="17">
        <v>0.06</v>
      </c>
      <c r="L164" s="12">
        <v>85</v>
      </c>
      <c r="M164" s="12">
        <v>145</v>
      </c>
      <c r="N164" s="7" t="s">
        <v>198</v>
      </c>
      <c r="O164" s="7" t="s">
        <v>198</v>
      </c>
      <c r="P164" s="7" t="s">
        <v>280</v>
      </c>
      <c r="Q164" s="4" t="s">
        <v>1059</v>
      </c>
    </row>
    <row r="165" spans="1:17" ht="30" customHeight="1">
      <c r="A165" s="4" t="s">
        <v>1035</v>
      </c>
      <c r="B165" s="7" t="s">
        <v>1060</v>
      </c>
      <c r="C165" s="4" t="s">
        <v>1061</v>
      </c>
      <c r="D165" s="7" t="s">
        <v>710</v>
      </c>
      <c r="E165" s="10">
        <v>1.5</v>
      </c>
      <c r="F165" s="10">
        <v>0.91</v>
      </c>
      <c r="G165" s="16">
        <v>191.21</v>
      </c>
      <c r="H165" s="16">
        <v>48</v>
      </c>
      <c r="I165" s="16">
        <v>39.09</v>
      </c>
      <c r="J165" s="7" t="s">
        <v>852</v>
      </c>
      <c r="K165" s="17">
        <v>0.06</v>
      </c>
      <c r="L165" s="12">
        <v>295</v>
      </c>
      <c r="M165" s="12">
        <v>445</v>
      </c>
      <c r="N165" s="7" t="s">
        <v>200</v>
      </c>
      <c r="O165" s="7" t="s">
        <v>648</v>
      </c>
      <c r="P165" s="7" t="s">
        <v>280</v>
      </c>
      <c r="Q165" s="4" t="s">
        <v>1062</v>
      </c>
    </row>
    <row r="166" spans="1:17" ht="30" customHeight="1">
      <c r="A166" s="4" t="s">
        <v>1035</v>
      </c>
      <c r="B166" s="7" t="s">
        <v>1063</v>
      </c>
      <c r="C166" s="4" t="s">
        <v>1064</v>
      </c>
      <c r="D166" s="7" t="s">
        <v>1065</v>
      </c>
      <c r="E166" s="7" t="s">
        <v>852</v>
      </c>
      <c r="F166" s="7" t="s">
        <v>852</v>
      </c>
      <c r="G166" s="7" t="s">
        <v>852</v>
      </c>
      <c r="H166" s="7" t="s">
        <v>852</v>
      </c>
      <c r="I166" s="7" t="s">
        <v>852</v>
      </c>
      <c r="J166" s="16">
        <v>107500</v>
      </c>
      <c r="K166" s="17">
        <v>0.05</v>
      </c>
      <c r="L166" s="12">
        <v>75000</v>
      </c>
      <c r="M166" s="12">
        <v>140000</v>
      </c>
      <c r="N166" s="7" t="s">
        <v>198</v>
      </c>
      <c r="O166" s="7" t="s">
        <v>200</v>
      </c>
      <c r="P166" s="7" t="s">
        <v>280</v>
      </c>
      <c r="Q166" s="4" t="s">
        <v>1066</v>
      </c>
    </row>
    <row r="167" spans="1:17" ht="18" customHeight="1">
      <c r="A167" s="9" t="s">
        <v>1067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30" customHeight="1">
      <c r="A168" s="4" t="s">
        <v>1067</v>
      </c>
      <c r="B168" s="7" t="s">
        <v>1068</v>
      </c>
      <c r="C168" s="4" t="s">
        <v>1069</v>
      </c>
      <c r="D168" s="7" t="s">
        <v>647</v>
      </c>
      <c r="E168" s="10">
        <v>14</v>
      </c>
      <c r="F168" s="10">
        <v>0.9</v>
      </c>
      <c r="G168" s="16">
        <v>1722.78</v>
      </c>
      <c r="H168" s="16">
        <v>404.44</v>
      </c>
      <c r="I168" s="16">
        <v>514.29</v>
      </c>
      <c r="J168" s="7" t="s">
        <v>852</v>
      </c>
      <c r="K168" s="17">
        <v>0.06</v>
      </c>
      <c r="L168" s="12">
        <v>2800</v>
      </c>
      <c r="M168" s="12">
        <v>3800</v>
      </c>
      <c r="N168" s="7" t="s">
        <v>198</v>
      </c>
      <c r="O168" s="7" t="s">
        <v>198</v>
      </c>
      <c r="P168" s="7" t="s">
        <v>282</v>
      </c>
      <c r="Q168" s="4" t="s">
        <v>1070</v>
      </c>
    </row>
    <row r="169" spans="1:17" ht="30" customHeight="1">
      <c r="A169" s="4" t="s">
        <v>1067</v>
      </c>
      <c r="B169" s="7" t="s">
        <v>1071</v>
      </c>
      <c r="C169" s="4" t="s">
        <v>1072</v>
      </c>
      <c r="D169" s="7" t="s">
        <v>647</v>
      </c>
      <c r="E169" s="10">
        <v>13</v>
      </c>
      <c r="F169" s="10">
        <v>0.9</v>
      </c>
      <c r="G169" s="16">
        <v>1599.72</v>
      </c>
      <c r="H169" s="16">
        <v>375.56</v>
      </c>
      <c r="I169" s="16">
        <v>524.72</v>
      </c>
      <c r="J169" s="7" t="s">
        <v>852</v>
      </c>
      <c r="K169" s="17">
        <v>0.06</v>
      </c>
      <c r="L169" s="12">
        <v>2650</v>
      </c>
      <c r="M169" s="12">
        <v>3500</v>
      </c>
      <c r="N169" s="7" t="s">
        <v>198</v>
      </c>
      <c r="O169" s="7" t="s">
        <v>198</v>
      </c>
      <c r="P169" s="7" t="s">
        <v>282</v>
      </c>
      <c r="Q169" s="4" t="s">
        <v>1073</v>
      </c>
    </row>
    <row r="170" spans="1:17" ht="30" customHeight="1">
      <c r="A170" s="4" t="s">
        <v>1067</v>
      </c>
      <c r="B170" s="7" t="s">
        <v>1074</v>
      </c>
      <c r="C170" s="4" t="s">
        <v>1075</v>
      </c>
      <c r="D170" s="7" t="s">
        <v>647</v>
      </c>
      <c r="E170" s="10">
        <v>18</v>
      </c>
      <c r="F170" s="10">
        <v>0.9</v>
      </c>
      <c r="G170" s="16">
        <v>2215</v>
      </c>
      <c r="H170" s="16">
        <v>520</v>
      </c>
      <c r="I170" s="16">
        <v>283.87</v>
      </c>
      <c r="J170" s="7" t="s">
        <v>852</v>
      </c>
      <c r="K170" s="17">
        <v>0.06</v>
      </c>
      <c r="L170" s="12">
        <v>3200</v>
      </c>
      <c r="M170" s="12">
        <v>4500</v>
      </c>
      <c r="N170" s="7" t="s">
        <v>198</v>
      </c>
      <c r="O170" s="7" t="s">
        <v>198</v>
      </c>
      <c r="P170" s="7" t="s">
        <v>282</v>
      </c>
      <c r="Q170" s="4" t="s">
        <v>1076</v>
      </c>
    </row>
    <row r="171" spans="1:17" ht="30" customHeight="1">
      <c r="A171" s="4" t="s">
        <v>1067</v>
      </c>
      <c r="B171" s="7" t="s">
        <v>1077</v>
      </c>
      <c r="C171" s="4" t="s">
        <v>1078</v>
      </c>
      <c r="D171" s="7" t="s">
        <v>647</v>
      </c>
      <c r="E171" s="10">
        <v>16</v>
      </c>
      <c r="F171" s="10">
        <v>0.9</v>
      </c>
      <c r="G171" s="16">
        <v>1968.89</v>
      </c>
      <c r="H171" s="16">
        <v>462.22</v>
      </c>
      <c r="I171" s="16">
        <v>399.08</v>
      </c>
      <c r="J171" s="7" t="s">
        <v>852</v>
      </c>
      <c r="K171" s="17">
        <v>0.06</v>
      </c>
      <c r="L171" s="12">
        <v>3000</v>
      </c>
      <c r="M171" s="12">
        <v>4200</v>
      </c>
      <c r="N171" s="7" t="s">
        <v>198</v>
      </c>
      <c r="O171" s="7" t="s">
        <v>198</v>
      </c>
      <c r="P171" s="7" t="s">
        <v>282</v>
      </c>
      <c r="Q171" s="4" t="s">
        <v>1079</v>
      </c>
    </row>
    <row r="172" spans="1:17" ht="30" customHeight="1">
      <c r="A172" s="4" t="s">
        <v>1067</v>
      </c>
      <c r="B172" s="7" t="s">
        <v>1080</v>
      </c>
      <c r="C172" s="4" t="s">
        <v>1081</v>
      </c>
      <c r="D172" s="7" t="s">
        <v>716</v>
      </c>
      <c r="E172" s="10">
        <v>28</v>
      </c>
      <c r="F172" s="7" t="s">
        <v>852</v>
      </c>
      <c r="G172" s="16">
        <v>3407.69</v>
      </c>
      <c r="H172" s="16">
        <v>800</v>
      </c>
      <c r="I172" s="16">
        <v>7113.06</v>
      </c>
      <c r="J172" s="7" t="s">
        <v>852</v>
      </c>
      <c r="K172" s="17">
        <v>0.06</v>
      </c>
      <c r="L172" s="12">
        <v>12000</v>
      </c>
      <c r="M172" s="12">
        <v>22000</v>
      </c>
      <c r="N172" s="7" t="s">
        <v>198</v>
      </c>
      <c r="O172" s="7" t="s">
        <v>198</v>
      </c>
      <c r="P172" s="7" t="s">
        <v>282</v>
      </c>
      <c r="Q172" s="4" t="s">
        <v>1082</v>
      </c>
    </row>
    <row r="173" spans="1:17" ht="30" customHeight="1">
      <c r="A173" s="4" t="s">
        <v>1067</v>
      </c>
      <c r="B173" s="7" t="s">
        <v>1083</v>
      </c>
      <c r="C173" s="4" t="s">
        <v>1084</v>
      </c>
      <c r="D173" s="7" t="s">
        <v>716</v>
      </c>
      <c r="E173" s="7" t="s">
        <v>852</v>
      </c>
      <c r="F173" s="7" t="s">
        <v>852</v>
      </c>
      <c r="G173" s="7" t="s">
        <v>852</v>
      </c>
      <c r="H173" s="7" t="s">
        <v>852</v>
      </c>
      <c r="I173" s="7" t="s">
        <v>852</v>
      </c>
      <c r="J173" s="16">
        <v>70000</v>
      </c>
      <c r="K173" s="17">
        <v>0.05</v>
      </c>
      <c r="L173" s="12">
        <v>45000</v>
      </c>
      <c r="M173" s="12">
        <v>95000</v>
      </c>
      <c r="N173" s="7" t="s">
        <v>198</v>
      </c>
      <c r="O173" s="7" t="s">
        <v>198</v>
      </c>
      <c r="P173" s="7" t="s">
        <v>282</v>
      </c>
      <c r="Q173" s="4" t="s">
        <v>1085</v>
      </c>
    </row>
    <row r="174" spans="1:17" ht="30" customHeight="1">
      <c r="A174" s="4" t="s">
        <v>1067</v>
      </c>
      <c r="B174" s="7" t="s">
        <v>1086</v>
      </c>
      <c r="C174" s="4" t="s">
        <v>1087</v>
      </c>
      <c r="D174" s="7" t="s">
        <v>710</v>
      </c>
      <c r="E174" s="7" t="s">
        <v>852</v>
      </c>
      <c r="F174" s="7" t="s">
        <v>852</v>
      </c>
      <c r="G174" s="7" t="s">
        <v>852</v>
      </c>
      <c r="H174" s="7" t="s">
        <v>852</v>
      </c>
      <c r="I174" s="7" t="s">
        <v>852</v>
      </c>
      <c r="J174" s="16">
        <v>25000</v>
      </c>
      <c r="K174" s="17">
        <v>0.05</v>
      </c>
      <c r="L174" s="12">
        <v>18000</v>
      </c>
      <c r="M174" s="12">
        <v>32000</v>
      </c>
      <c r="N174" s="7" t="s">
        <v>198</v>
      </c>
      <c r="O174" s="7" t="s">
        <v>198</v>
      </c>
      <c r="P174" s="7" t="s">
        <v>282</v>
      </c>
      <c r="Q174" s="4" t="s">
        <v>1088</v>
      </c>
    </row>
    <row r="175" spans="1:17" ht="30" customHeight="1">
      <c r="A175" s="4" t="s">
        <v>1067</v>
      </c>
      <c r="B175" s="7" t="s">
        <v>1089</v>
      </c>
      <c r="C175" s="4" t="s">
        <v>1090</v>
      </c>
      <c r="D175" s="7" t="s">
        <v>716</v>
      </c>
      <c r="E175" s="7" t="s">
        <v>852</v>
      </c>
      <c r="F175" s="7" t="s">
        <v>852</v>
      </c>
      <c r="G175" s="7" t="s">
        <v>852</v>
      </c>
      <c r="H175" s="7" t="s">
        <v>852</v>
      </c>
      <c r="I175" s="7" t="s">
        <v>852</v>
      </c>
      <c r="J175" s="16">
        <v>265000</v>
      </c>
      <c r="K175" s="17">
        <v>0.05</v>
      </c>
      <c r="L175" s="12">
        <v>180000</v>
      </c>
      <c r="M175" s="12">
        <v>350000</v>
      </c>
      <c r="N175" s="7" t="s">
        <v>198</v>
      </c>
      <c r="O175" s="7" t="s">
        <v>198</v>
      </c>
      <c r="P175" s="7" t="s">
        <v>282</v>
      </c>
      <c r="Q175" s="4" t="s">
        <v>1091</v>
      </c>
    </row>
    <row r="176" spans="1:17" ht="30" customHeight="1">
      <c r="A176" s="4" t="s">
        <v>1067</v>
      </c>
      <c r="B176" s="7" t="s">
        <v>1092</v>
      </c>
      <c r="C176" s="4" t="s">
        <v>1093</v>
      </c>
      <c r="D176" s="7" t="s">
        <v>682</v>
      </c>
      <c r="E176" s="10">
        <v>5</v>
      </c>
      <c r="F176" s="10">
        <v>0.9</v>
      </c>
      <c r="G176" s="16">
        <v>615.28</v>
      </c>
      <c r="H176" s="16">
        <v>144.44</v>
      </c>
      <c r="I176" s="16">
        <v>0</v>
      </c>
      <c r="J176" s="16">
        <v>0</v>
      </c>
      <c r="K176" s="17">
        <v>0.06</v>
      </c>
      <c r="L176" s="12">
        <v>285</v>
      </c>
      <c r="M176" s="12">
        <v>450</v>
      </c>
      <c r="N176" s="7" t="s">
        <v>198</v>
      </c>
      <c r="O176" s="7" t="s">
        <v>198</v>
      </c>
      <c r="P176" s="7" t="s">
        <v>282</v>
      </c>
      <c r="Q176" s="4" t="s">
        <v>1094</v>
      </c>
    </row>
    <row r="177" spans="1:17" ht="30" customHeight="1">
      <c r="A177" s="4" t="s">
        <v>1067</v>
      </c>
      <c r="B177" s="7" t="s">
        <v>1095</v>
      </c>
      <c r="C177" s="4" t="s">
        <v>1096</v>
      </c>
      <c r="D177" s="7" t="s">
        <v>682</v>
      </c>
      <c r="E177" s="10">
        <v>4</v>
      </c>
      <c r="F177" s="10">
        <v>0.91</v>
      </c>
      <c r="G177" s="16">
        <v>486.81</v>
      </c>
      <c r="H177" s="16">
        <v>114.29</v>
      </c>
      <c r="I177" s="16">
        <v>0</v>
      </c>
      <c r="J177" s="16">
        <v>0</v>
      </c>
      <c r="K177" s="17">
        <v>0.06</v>
      </c>
      <c r="L177" s="12">
        <v>220</v>
      </c>
      <c r="M177" s="12">
        <v>380</v>
      </c>
      <c r="N177" s="7" t="s">
        <v>198</v>
      </c>
      <c r="O177" s="7" t="s">
        <v>198</v>
      </c>
      <c r="P177" s="7" t="s">
        <v>282</v>
      </c>
      <c r="Q177" s="4" t="s">
        <v>1097</v>
      </c>
    </row>
    <row r="178" spans="1:17" ht="30" customHeight="1">
      <c r="A178" s="4" t="s">
        <v>1067</v>
      </c>
      <c r="B178" s="7" t="s">
        <v>1098</v>
      </c>
      <c r="C178" s="4" t="s">
        <v>1099</v>
      </c>
      <c r="D178" s="7" t="s">
        <v>682</v>
      </c>
      <c r="E178" s="10">
        <v>2.5</v>
      </c>
      <c r="F178" s="10">
        <v>0.9</v>
      </c>
      <c r="G178" s="16">
        <v>307.64</v>
      </c>
      <c r="H178" s="16">
        <v>72.22</v>
      </c>
      <c r="I178" s="16">
        <v>0</v>
      </c>
      <c r="J178" s="16">
        <v>0</v>
      </c>
      <c r="K178" s="17">
        <v>0.06</v>
      </c>
      <c r="L178" s="12">
        <v>195</v>
      </c>
      <c r="M178" s="12">
        <v>285</v>
      </c>
      <c r="N178" s="7" t="s">
        <v>198</v>
      </c>
      <c r="O178" s="7" t="s">
        <v>198</v>
      </c>
      <c r="P178" s="7" t="s">
        <v>282</v>
      </c>
      <c r="Q178" s="4" t="s">
        <v>1100</v>
      </c>
    </row>
    <row r="179" spans="1:17" ht="18" customHeight="1">
      <c r="A179" s="9" t="s">
        <v>1101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30" customHeight="1">
      <c r="A180" s="4" t="s">
        <v>1101</v>
      </c>
      <c r="B180" s="7" t="s">
        <v>1102</v>
      </c>
      <c r="C180" s="4" t="s">
        <v>1103</v>
      </c>
      <c r="D180" s="7" t="s">
        <v>1104</v>
      </c>
      <c r="E180" s="7" t="s">
        <v>852</v>
      </c>
      <c r="F180" s="7" t="s">
        <v>852</v>
      </c>
      <c r="G180" s="7" t="s">
        <v>852</v>
      </c>
      <c r="H180" s="7" t="s">
        <v>852</v>
      </c>
      <c r="I180" s="7" t="s">
        <v>852</v>
      </c>
      <c r="J180" s="16">
        <v>46500</v>
      </c>
      <c r="K180" s="17">
        <v>0.05</v>
      </c>
      <c r="L180" s="12">
        <v>28000</v>
      </c>
      <c r="M180" s="12">
        <v>65000</v>
      </c>
      <c r="N180" s="7" t="s">
        <v>198</v>
      </c>
      <c r="O180" s="7" t="s">
        <v>648</v>
      </c>
      <c r="P180" s="7" t="s">
        <v>278</v>
      </c>
      <c r="Q180" s="4" t="s">
        <v>1105</v>
      </c>
    </row>
    <row r="181" spans="1:17" ht="30" customHeight="1">
      <c r="A181" s="4" t="s">
        <v>1101</v>
      </c>
      <c r="B181" s="7" t="s">
        <v>1106</v>
      </c>
      <c r="C181" s="4" t="s">
        <v>1107</v>
      </c>
      <c r="D181" s="7" t="s">
        <v>710</v>
      </c>
      <c r="E181" s="10">
        <v>0.2</v>
      </c>
      <c r="F181" s="10">
        <v>0.91</v>
      </c>
      <c r="G181" s="16">
        <v>24.78</v>
      </c>
      <c r="H181" s="16">
        <v>19.53</v>
      </c>
      <c r="I181" s="16">
        <v>0</v>
      </c>
      <c r="J181" s="16">
        <v>0</v>
      </c>
      <c r="K181" s="17">
        <v>0.06</v>
      </c>
      <c r="L181" s="12">
        <v>45</v>
      </c>
      <c r="M181" s="12">
        <v>85</v>
      </c>
      <c r="N181" s="7" t="s">
        <v>198</v>
      </c>
      <c r="O181" s="7" t="s">
        <v>648</v>
      </c>
      <c r="P181" s="7" t="s">
        <v>278</v>
      </c>
      <c r="Q181" s="4" t="s">
        <v>1108</v>
      </c>
    </row>
    <row r="182" spans="1:17" ht="30" customHeight="1">
      <c r="A182" s="4" t="s">
        <v>1101</v>
      </c>
      <c r="B182" s="7" t="s">
        <v>1109</v>
      </c>
      <c r="C182" s="4" t="s">
        <v>1110</v>
      </c>
      <c r="D182" s="7" t="s">
        <v>710</v>
      </c>
      <c r="E182" s="7" t="s">
        <v>852</v>
      </c>
      <c r="F182" s="7" t="s">
        <v>852</v>
      </c>
      <c r="G182" s="7" t="s">
        <v>852</v>
      </c>
      <c r="H182" s="7" t="s">
        <v>852</v>
      </c>
      <c r="I182" s="7" t="s">
        <v>852</v>
      </c>
      <c r="J182" s="16">
        <v>215</v>
      </c>
      <c r="K182" s="17">
        <v>0.05</v>
      </c>
      <c r="L182" s="12">
        <v>165</v>
      </c>
      <c r="M182" s="12">
        <v>265</v>
      </c>
      <c r="N182" s="7" t="s">
        <v>200</v>
      </c>
      <c r="O182" s="7" t="s">
        <v>648</v>
      </c>
      <c r="P182" s="7" t="s">
        <v>280</v>
      </c>
      <c r="Q182" s="4" t="s">
        <v>1111</v>
      </c>
    </row>
    <row r="183" spans="1:17" ht="30" customHeight="1">
      <c r="A183" s="4" t="s">
        <v>1101</v>
      </c>
      <c r="B183" s="7" t="s">
        <v>1112</v>
      </c>
      <c r="C183" s="4" t="s">
        <v>1113</v>
      </c>
      <c r="D183" s="7" t="s">
        <v>710</v>
      </c>
      <c r="E183" s="7" t="s">
        <v>852</v>
      </c>
      <c r="F183" s="7" t="s">
        <v>852</v>
      </c>
      <c r="G183" s="7" t="s">
        <v>852</v>
      </c>
      <c r="H183" s="7" t="s">
        <v>852</v>
      </c>
      <c r="I183" s="7" t="s">
        <v>852</v>
      </c>
      <c r="J183" s="16">
        <v>502.5</v>
      </c>
      <c r="K183" s="17">
        <v>0.05</v>
      </c>
      <c r="L183" s="12">
        <v>385</v>
      </c>
      <c r="M183" s="12">
        <v>620</v>
      </c>
      <c r="N183" s="7" t="s">
        <v>200</v>
      </c>
      <c r="O183" s="7" t="s">
        <v>648</v>
      </c>
      <c r="P183" s="7" t="s">
        <v>280</v>
      </c>
      <c r="Q183" s="4" t="s">
        <v>1114</v>
      </c>
    </row>
    <row r="184" spans="1:17" ht="30" customHeight="1">
      <c r="A184" s="4" t="s">
        <v>1101</v>
      </c>
      <c r="B184" s="7" t="s">
        <v>1115</v>
      </c>
      <c r="C184" s="4" t="s">
        <v>1116</v>
      </c>
      <c r="D184" s="7" t="s">
        <v>710</v>
      </c>
      <c r="E184" s="7" t="s">
        <v>852</v>
      </c>
      <c r="F184" s="7" t="s">
        <v>852</v>
      </c>
      <c r="G184" s="7" t="s">
        <v>852</v>
      </c>
      <c r="H184" s="7" t="s">
        <v>852</v>
      </c>
      <c r="I184" s="7" t="s">
        <v>852</v>
      </c>
      <c r="J184" s="16">
        <v>585</v>
      </c>
      <c r="K184" s="17">
        <v>0.05</v>
      </c>
      <c r="L184" s="12">
        <v>450</v>
      </c>
      <c r="M184" s="12">
        <v>720</v>
      </c>
      <c r="N184" s="7" t="s">
        <v>200</v>
      </c>
      <c r="O184" s="7" t="s">
        <v>648</v>
      </c>
      <c r="P184" s="7" t="s">
        <v>280</v>
      </c>
      <c r="Q184" s="4" t="s">
        <v>1117</v>
      </c>
    </row>
    <row r="185" spans="1:17" ht="30" customHeight="1">
      <c r="A185" s="4" t="s">
        <v>1101</v>
      </c>
      <c r="B185" s="7" t="s">
        <v>1118</v>
      </c>
      <c r="C185" s="4" t="s">
        <v>1119</v>
      </c>
      <c r="D185" s="7" t="s">
        <v>710</v>
      </c>
      <c r="E185" s="10">
        <v>1.2</v>
      </c>
      <c r="F185" s="10">
        <v>0.88</v>
      </c>
      <c r="G185" s="16">
        <v>158.18</v>
      </c>
      <c r="H185" s="16">
        <v>39.71</v>
      </c>
      <c r="I185" s="16">
        <v>0</v>
      </c>
      <c r="J185" s="16">
        <v>0</v>
      </c>
      <c r="K185" s="17">
        <v>0.06</v>
      </c>
      <c r="L185" s="12">
        <v>140</v>
      </c>
      <c r="M185" s="12">
        <v>240</v>
      </c>
      <c r="N185" s="7" t="s">
        <v>216</v>
      </c>
      <c r="O185" s="7" t="s">
        <v>648</v>
      </c>
      <c r="P185" s="7" t="s">
        <v>280</v>
      </c>
      <c r="Q185" s="4" t="s">
        <v>1120</v>
      </c>
    </row>
    <row r="186" spans="1:17" ht="30" customHeight="1">
      <c r="A186" s="4" t="s">
        <v>1101</v>
      </c>
      <c r="B186" s="7" t="s">
        <v>1121</v>
      </c>
      <c r="C186" s="4" t="s">
        <v>1122</v>
      </c>
      <c r="D186" s="7" t="s">
        <v>716</v>
      </c>
      <c r="E186" s="7" t="s">
        <v>852</v>
      </c>
      <c r="F186" s="7" t="s">
        <v>852</v>
      </c>
      <c r="G186" s="7" t="s">
        <v>852</v>
      </c>
      <c r="H186" s="7" t="s">
        <v>852</v>
      </c>
      <c r="I186" s="7" t="s">
        <v>852</v>
      </c>
      <c r="J186" s="16">
        <v>125000</v>
      </c>
      <c r="K186" s="17">
        <v>0.05</v>
      </c>
      <c r="L186" s="12">
        <v>85000</v>
      </c>
      <c r="M186" s="12">
        <v>165000</v>
      </c>
      <c r="N186" s="7" t="s">
        <v>198</v>
      </c>
      <c r="O186" s="7" t="s">
        <v>648</v>
      </c>
      <c r="P186" s="7" t="s">
        <v>280</v>
      </c>
      <c r="Q186" s="4" t="s">
        <v>1123</v>
      </c>
    </row>
    <row r="187" spans="1:17" ht="30" customHeight="1">
      <c r="A187" s="4" t="s">
        <v>1101</v>
      </c>
      <c r="B187" s="7" t="s">
        <v>1124</v>
      </c>
      <c r="C187" s="4" t="s">
        <v>1125</v>
      </c>
      <c r="D187" s="7" t="s">
        <v>716</v>
      </c>
      <c r="E187" s="7" t="s">
        <v>852</v>
      </c>
      <c r="F187" s="7" t="s">
        <v>852</v>
      </c>
      <c r="G187" s="7" t="s">
        <v>852</v>
      </c>
      <c r="H187" s="7" t="s">
        <v>852</v>
      </c>
      <c r="I187" s="7" t="s">
        <v>852</v>
      </c>
      <c r="J187" s="16">
        <v>85000</v>
      </c>
      <c r="K187" s="17">
        <v>0.05</v>
      </c>
      <c r="L187" s="12">
        <v>55000</v>
      </c>
      <c r="M187" s="12">
        <v>115000</v>
      </c>
      <c r="N187" s="7" t="s">
        <v>198</v>
      </c>
      <c r="O187" s="7" t="s">
        <v>648</v>
      </c>
      <c r="P187" s="7" t="s">
        <v>280</v>
      </c>
      <c r="Q187" s="4" t="s">
        <v>1126</v>
      </c>
    </row>
    <row r="188" spans="1:17" ht="30" customHeight="1">
      <c r="A188" s="4" t="s">
        <v>1101</v>
      </c>
      <c r="B188" s="7" t="s">
        <v>1127</v>
      </c>
      <c r="C188" s="4" t="s">
        <v>1128</v>
      </c>
      <c r="D188" s="7" t="s">
        <v>1104</v>
      </c>
      <c r="E188" s="7" t="s">
        <v>852</v>
      </c>
      <c r="F188" s="7" t="s">
        <v>852</v>
      </c>
      <c r="G188" s="7" t="s">
        <v>852</v>
      </c>
      <c r="H188" s="7" t="s">
        <v>852</v>
      </c>
      <c r="I188" s="7" t="s">
        <v>852</v>
      </c>
      <c r="J188" s="16">
        <v>26500</v>
      </c>
      <c r="K188" s="17">
        <v>0.05</v>
      </c>
      <c r="L188" s="12">
        <v>18000</v>
      </c>
      <c r="M188" s="12">
        <v>35000</v>
      </c>
      <c r="N188" s="7" t="s">
        <v>198</v>
      </c>
      <c r="O188" s="7" t="s">
        <v>648</v>
      </c>
      <c r="P188" s="7" t="s">
        <v>286</v>
      </c>
      <c r="Q188" s="4" t="s">
        <v>1129</v>
      </c>
    </row>
    <row r="189" spans="1:17" ht="30" customHeight="1">
      <c r="A189" s="4" t="s">
        <v>1101</v>
      </c>
      <c r="B189" s="7" t="s">
        <v>1130</v>
      </c>
      <c r="C189" s="4" t="s">
        <v>1131</v>
      </c>
      <c r="D189" s="7" t="s">
        <v>710</v>
      </c>
      <c r="E189" s="7" t="s">
        <v>852</v>
      </c>
      <c r="F189" s="7" t="s">
        <v>852</v>
      </c>
      <c r="G189" s="7" t="s">
        <v>852</v>
      </c>
      <c r="H189" s="7" t="s">
        <v>852</v>
      </c>
      <c r="I189" s="7" t="s">
        <v>852</v>
      </c>
      <c r="J189" s="16">
        <v>2000</v>
      </c>
      <c r="K189" s="17">
        <v>0.05</v>
      </c>
      <c r="L189" s="12">
        <v>1200</v>
      </c>
      <c r="M189" s="12">
        <v>2800</v>
      </c>
      <c r="N189" s="7" t="s">
        <v>194</v>
      </c>
      <c r="O189" s="7" t="s">
        <v>648</v>
      </c>
      <c r="P189" s="7" t="s">
        <v>318</v>
      </c>
      <c r="Q189" s="4" t="s">
        <v>1132</v>
      </c>
    </row>
    <row r="190" spans="1:17" ht="18" customHeight="1">
      <c r="A190" s="9" t="s">
        <v>1133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30" customHeight="1">
      <c r="A191" s="4" t="s">
        <v>1133</v>
      </c>
      <c r="B191" s="7" t="s">
        <v>1134</v>
      </c>
      <c r="C191" s="4" t="s">
        <v>1135</v>
      </c>
      <c r="D191" s="7" t="s">
        <v>716</v>
      </c>
      <c r="E191" s="7" t="s">
        <v>852</v>
      </c>
      <c r="F191" s="7" t="s">
        <v>852</v>
      </c>
      <c r="G191" s="7" t="s">
        <v>852</v>
      </c>
      <c r="H191" s="7" t="s">
        <v>852</v>
      </c>
      <c r="I191" s="7" t="s">
        <v>852</v>
      </c>
      <c r="J191" s="16">
        <v>280000</v>
      </c>
      <c r="K191" s="17">
        <v>0.05</v>
      </c>
      <c r="L191" s="12">
        <v>180000</v>
      </c>
      <c r="M191" s="12">
        <v>380000</v>
      </c>
      <c r="N191" s="7" t="s">
        <v>198</v>
      </c>
      <c r="O191" s="7" t="s">
        <v>648</v>
      </c>
      <c r="P191" s="7" t="s">
        <v>324</v>
      </c>
      <c r="Q191" s="4" t="s">
        <v>1136</v>
      </c>
    </row>
    <row r="192" spans="1:17" ht="30" customHeight="1">
      <c r="A192" s="4" t="s">
        <v>1133</v>
      </c>
      <c r="B192" s="7" t="s">
        <v>1137</v>
      </c>
      <c r="C192" s="4" t="s">
        <v>1138</v>
      </c>
      <c r="D192" s="7" t="s">
        <v>1139</v>
      </c>
      <c r="E192" s="7" t="s">
        <v>852</v>
      </c>
      <c r="F192" s="7" t="s">
        <v>852</v>
      </c>
      <c r="G192" s="7" t="s">
        <v>852</v>
      </c>
      <c r="H192" s="7" t="s">
        <v>852</v>
      </c>
      <c r="I192" s="7" t="s">
        <v>852</v>
      </c>
      <c r="J192" s="16">
        <v>6000</v>
      </c>
      <c r="K192" s="17">
        <v>0.05</v>
      </c>
      <c r="L192" s="12">
        <v>4500</v>
      </c>
      <c r="M192" s="12">
        <v>7500</v>
      </c>
      <c r="N192" s="7" t="s">
        <v>198</v>
      </c>
      <c r="O192" s="7" t="s">
        <v>198</v>
      </c>
      <c r="P192" s="7" t="s">
        <v>282</v>
      </c>
      <c r="Q192" s="4" t="s">
        <v>1140</v>
      </c>
    </row>
    <row r="193" spans="1:17" ht="30" customHeight="1">
      <c r="A193" s="4" t="s">
        <v>1133</v>
      </c>
      <c r="B193" s="7" t="s">
        <v>1141</v>
      </c>
      <c r="C193" s="4" t="s">
        <v>1142</v>
      </c>
      <c r="D193" s="7" t="s">
        <v>1139</v>
      </c>
      <c r="E193" s="7" t="s">
        <v>852</v>
      </c>
      <c r="F193" s="7" t="s">
        <v>852</v>
      </c>
      <c r="G193" s="7" t="s">
        <v>852</v>
      </c>
      <c r="H193" s="7" t="s">
        <v>852</v>
      </c>
      <c r="I193" s="7" t="s">
        <v>852</v>
      </c>
      <c r="J193" s="16">
        <v>8750</v>
      </c>
      <c r="K193" s="17">
        <v>0.05</v>
      </c>
      <c r="L193" s="12">
        <v>6500</v>
      </c>
      <c r="M193" s="12">
        <v>11000</v>
      </c>
      <c r="N193" s="7" t="s">
        <v>194</v>
      </c>
      <c r="O193" s="7" t="s">
        <v>198</v>
      </c>
      <c r="P193" s="7" t="s">
        <v>324</v>
      </c>
      <c r="Q193" s="4" t="s">
        <v>1143</v>
      </c>
    </row>
    <row r="194" spans="1:17" ht="30" customHeight="1">
      <c r="A194" s="4" t="s">
        <v>1133</v>
      </c>
      <c r="B194" s="7" t="s">
        <v>1144</v>
      </c>
      <c r="C194" s="4" t="s">
        <v>1145</v>
      </c>
      <c r="D194" s="7" t="s">
        <v>647</v>
      </c>
      <c r="E194" s="10">
        <v>18</v>
      </c>
      <c r="F194" s="10">
        <v>0.9</v>
      </c>
      <c r="G194" s="16">
        <v>2215</v>
      </c>
      <c r="H194" s="16">
        <v>520</v>
      </c>
      <c r="I194" s="16">
        <v>0</v>
      </c>
      <c r="J194" s="16">
        <v>0</v>
      </c>
      <c r="K194" s="17">
        <v>0.06</v>
      </c>
      <c r="L194" s="12">
        <v>2800</v>
      </c>
      <c r="M194" s="12">
        <v>4200</v>
      </c>
      <c r="N194" s="7" t="s">
        <v>198</v>
      </c>
      <c r="O194" s="7" t="s">
        <v>198</v>
      </c>
      <c r="P194" s="7" t="s">
        <v>282</v>
      </c>
      <c r="Q194" s="4" t="s">
        <v>1146</v>
      </c>
    </row>
    <row r="195" spans="1:17" ht="30" customHeight="1">
      <c r="A195" s="4" t="s">
        <v>1133</v>
      </c>
      <c r="B195" s="7" t="s">
        <v>1147</v>
      </c>
      <c r="C195" s="4" t="s">
        <v>1148</v>
      </c>
      <c r="D195" s="7" t="s">
        <v>647</v>
      </c>
      <c r="E195" s="10">
        <v>22</v>
      </c>
      <c r="F195" s="10">
        <v>0.9</v>
      </c>
      <c r="G195" s="16">
        <v>2707.22</v>
      </c>
      <c r="H195" s="16">
        <v>635.5599999999999</v>
      </c>
      <c r="I195" s="16">
        <v>0</v>
      </c>
      <c r="J195" s="16">
        <v>0</v>
      </c>
      <c r="K195" s="17">
        <v>0.06</v>
      </c>
      <c r="L195" s="12">
        <v>3200</v>
      </c>
      <c r="M195" s="12">
        <v>4800</v>
      </c>
      <c r="N195" s="7" t="s">
        <v>198</v>
      </c>
      <c r="O195" s="7" t="s">
        <v>198</v>
      </c>
      <c r="P195" s="7" t="s">
        <v>282</v>
      </c>
      <c r="Q195" s="4" t="s">
        <v>1149</v>
      </c>
    </row>
    <row r="196" spans="1:17" ht="30" customHeight="1">
      <c r="A196" s="4" t="s">
        <v>1133</v>
      </c>
      <c r="B196" s="7" t="s">
        <v>1150</v>
      </c>
      <c r="C196" s="4" t="s">
        <v>1151</v>
      </c>
      <c r="D196" s="7" t="s">
        <v>710</v>
      </c>
      <c r="E196" s="10">
        <v>20</v>
      </c>
      <c r="F196" s="10">
        <v>0.85</v>
      </c>
      <c r="G196" s="16">
        <v>2729.41</v>
      </c>
      <c r="H196" s="16">
        <v>685.1799999999999</v>
      </c>
      <c r="I196" s="16">
        <v>6962.77</v>
      </c>
      <c r="J196" s="7" t="s">
        <v>852</v>
      </c>
      <c r="K196" s="17">
        <v>0.06</v>
      </c>
      <c r="L196" s="12">
        <v>11000</v>
      </c>
      <c r="M196" s="12">
        <v>18500</v>
      </c>
      <c r="N196" s="7" t="s">
        <v>216</v>
      </c>
      <c r="O196" s="7" t="s">
        <v>648</v>
      </c>
      <c r="P196" s="7" t="s">
        <v>280</v>
      </c>
      <c r="Q196" s="4" t="s">
        <v>1152</v>
      </c>
    </row>
    <row r="197" spans="1:17" ht="18" customHeight="1">
      <c r="A197" s="9" t="s">
        <v>1153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30" customHeight="1">
      <c r="A198" s="4" t="s">
        <v>1153</v>
      </c>
      <c r="B198" s="7" t="s">
        <v>1154</v>
      </c>
      <c r="C198" s="4" t="s">
        <v>1155</v>
      </c>
      <c r="D198" s="7" t="s">
        <v>716</v>
      </c>
      <c r="E198" s="10">
        <v>24</v>
      </c>
      <c r="F198" s="7" t="s">
        <v>852</v>
      </c>
      <c r="G198" s="16">
        <v>2920.88</v>
      </c>
      <c r="H198" s="16">
        <v>685.71</v>
      </c>
      <c r="I198" s="16">
        <v>13374.54</v>
      </c>
      <c r="J198" s="7" t="s">
        <v>852</v>
      </c>
      <c r="K198" s="17">
        <v>0.06</v>
      </c>
      <c r="L198" s="12">
        <v>18000</v>
      </c>
      <c r="M198" s="12">
        <v>32000</v>
      </c>
      <c r="N198" s="7" t="s">
        <v>198</v>
      </c>
      <c r="O198" s="7" t="s">
        <v>198</v>
      </c>
      <c r="P198" s="7" t="s">
        <v>282</v>
      </c>
      <c r="Q198" s="4" t="s">
        <v>1156</v>
      </c>
    </row>
    <row r="199" spans="1:17" ht="30" customHeight="1">
      <c r="A199" s="4" t="s">
        <v>1153</v>
      </c>
      <c r="B199" s="7" t="s">
        <v>1157</v>
      </c>
      <c r="C199" s="4" t="s">
        <v>1158</v>
      </c>
      <c r="D199" s="7" t="s">
        <v>716</v>
      </c>
      <c r="E199" s="10">
        <v>32</v>
      </c>
      <c r="F199" s="7" t="s">
        <v>852</v>
      </c>
      <c r="G199" s="16">
        <v>3894.51</v>
      </c>
      <c r="H199" s="16">
        <v>914.29</v>
      </c>
      <c r="I199" s="16">
        <v>19719.5</v>
      </c>
      <c r="J199" s="7" t="s">
        <v>852</v>
      </c>
      <c r="K199" s="17">
        <v>0.06</v>
      </c>
      <c r="L199" s="12">
        <v>26000</v>
      </c>
      <c r="M199" s="12">
        <v>48000</v>
      </c>
      <c r="N199" s="7" t="s">
        <v>198</v>
      </c>
      <c r="O199" s="7" t="s">
        <v>198</v>
      </c>
      <c r="P199" s="7" t="s">
        <v>282</v>
      </c>
      <c r="Q199" s="4" t="s">
        <v>1159</v>
      </c>
    </row>
    <row r="200" spans="1:17" ht="30" customHeight="1">
      <c r="A200" s="4" t="s">
        <v>1153</v>
      </c>
      <c r="B200" s="7" t="s">
        <v>1160</v>
      </c>
      <c r="C200" s="4" t="s">
        <v>1161</v>
      </c>
      <c r="D200" s="7" t="s">
        <v>716</v>
      </c>
      <c r="E200" s="10">
        <v>6</v>
      </c>
      <c r="F200" s="7" t="s">
        <v>852</v>
      </c>
      <c r="G200" s="16">
        <v>749.14</v>
      </c>
      <c r="H200" s="16">
        <v>301.65</v>
      </c>
      <c r="I200" s="16">
        <v>694.49</v>
      </c>
      <c r="J200" s="7" t="s">
        <v>852</v>
      </c>
      <c r="K200" s="17">
        <v>0.06</v>
      </c>
      <c r="L200" s="12">
        <v>1850</v>
      </c>
      <c r="M200" s="12">
        <v>3500</v>
      </c>
      <c r="N200" s="7" t="s">
        <v>200</v>
      </c>
      <c r="O200" s="7" t="s">
        <v>200</v>
      </c>
      <c r="P200" s="7" t="s">
        <v>272</v>
      </c>
      <c r="Q200" s="4" t="s">
        <v>1162</v>
      </c>
    </row>
    <row r="201" spans="1:17" ht="30" customHeight="1">
      <c r="A201" s="4" t="s">
        <v>1153</v>
      </c>
      <c r="B201" s="7" t="s">
        <v>1163</v>
      </c>
      <c r="C201" s="4" t="s">
        <v>1164</v>
      </c>
      <c r="D201" s="7" t="s">
        <v>682</v>
      </c>
      <c r="E201" s="10">
        <v>0.4</v>
      </c>
      <c r="F201" s="10">
        <v>0.91</v>
      </c>
      <c r="G201" s="16">
        <v>49.84</v>
      </c>
      <c r="H201" s="16">
        <v>37.47</v>
      </c>
      <c r="I201" s="16">
        <v>0</v>
      </c>
      <c r="J201" s="16">
        <v>0</v>
      </c>
      <c r="K201" s="17">
        <v>0.06</v>
      </c>
      <c r="L201" s="12">
        <v>55</v>
      </c>
      <c r="M201" s="12">
        <v>90</v>
      </c>
      <c r="N201" s="7" t="s">
        <v>198</v>
      </c>
      <c r="O201" s="7" t="s">
        <v>200</v>
      </c>
      <c r="P201" s="7" t="s">
        <v>276</v>
      </c>
      <c r="Q201" s="4" t="s">
        <v>1165</v>
      </c>
    </row>
    <row r="202" spans="1:17" ht="30" customHeight="1">
      <c r="A202" s="4" t="s">
        <v>1153</v>
      </c>
      <c r="B202" s="7" t="s">
        <v>1166</v>
      </c>
      <c r="C202" s="4" t="s">
        <v>1167</v>
      </c>
      <c r="D202" s="7" t="s">
        <v>682</v>
      </c>
      <c r="E202" s="10">
        <v>3.5</v>
      </c>
      <c r="F202" s="10">
        <v>0.9</v>
      </c>
      <c r="G202" s="16">
        <v>430.69</v>
      </c>
      <c r="H202" s="16">
        <v>101.11</v>
      </c>
      <c r="I202" s="16">
        <v>0</v>
      </c>
      <c r="J202" s="16">
        <v>0</v>
      </c>
      <c r="K202" s="17">
        <v>0.06</v>
      </c>
      <c r="L202" s="12">
        <v>285</v>
      </c>
      <c r="M202" s="12">
        <v>450</v>
      </c>
      <c r="N202" s="7" t="s">
        <v>198</v>
      </c>
      <c r="O202" s="7" t="s">
        <v>198</v>
      </c>
      <c r="P202" s="7" t="s">
        <v>282</v>
      </c>
      <c r="Q202" s="4" t="s">
        <v>1168</v>
      </c>
    </row>
    <row r="203" spans="1:17" ht="30" customHeight="1">
      <c r="A203" s="4" t="s">
        <v>1153</v>
      </c>
      <c r="B203" s="7" t="s">
        <v>1169</v>
      </c>
      <c r="C203" s="4" t="s">
        <v>1170</v>
      </c>
      <c r="D203" s="7" t="s">
        <v>682</v>
      </c>
      <c r="E203" s="10">
        <v>0.05</v>
      </c>
      <c r="F203" s="10">
        <v>0.91</v>
      </c>
      <c r="G203" s="16">
        <v>6.14</v>
      </c>
      <c r="H203" s="16">
        <v>0.75</v>
      </c>
      <c r="I203" s="16">
        <v>10.09</v>
      </c>
      <c r="J203" s="7" t="s">
        <v>852</v>
      </c>
      <c r="K203" s="17">
        <v>0.06</v>
      </c>
      <c r="L203" s="12">
        <v>18</v>
      </c>
      <c r="M203" s="12">
        <v>32</v>
      </c>
      <c r="N203" s="7" t="s">
        <v>200</v>
      </c>
      <c r="O203" s="7" t="s">
        <v>200</v>
      </c>
      <c r="P203" s="7" t="s">
        <v>286</v>
      </c>
      <c r="Q203" s="4" t="s">
        <v>1171</v>
      </c>
    </row>
    <row r="204" spans="1:17" ht="30" customHeight="1">
      <c r="A204" s="4" t="s">
        <v>1153</v>
      </c>
      <c r="B204" s="7" t="s">
        <v>1172</v>
      </c>
      <c r="C204" s="4" t="s">
        <v>1173</v>
      </c>
      <c r="D204" s="7" t="s">
        <v>1104</v>
      </c>
      <c r="E204" s="7" t="s">
        <v>852</v>
      </c>
      <c r="F204" s="7" t="s">
        <v>852</v>
      </c>
      <c r="G204" s="7" t="s">
        <v>852</v>
      </c>
      <c r="H204" s="7" t="s">
        <v>852</v>
      </c>
      <c r="I204" s="7" t="s">
        <v>852</v>
      </c>
      <c r="J204" s="16">
        <v>55000</v>
      </c>
      <c r="K204" s="17">
        <v>0.05</v>
      </c>
      <c r="L204" s="12">
        <v>35000</v>
      </c>
      <c r="M204" s="12">
        <v>75000</v>
      </c>
      <c r="N204" s="7" t="s">
        <v>198</v>
      </c>
      <c r="O204" s="7" t="s">
        <v>648</v>
      </c>
      <c r="P204" s="7" t="s">
        <v>278</v>
      </c>
      <c r="Q204" s="4" t="s">
        <v>1174</v>
      </c>
    </row>
    <row r="205" spans="1:17" ht="18" customHeight="1">
      <c r="A205" s="9" t="s">
        <v>1175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30" customHeight="1">
      <c r="A206" s="4" t="s">
        <v>1175</v>
      </c>
      <c r="B206" s="7" t="s">
        <v>1176</v>
      </c>
      <c r="C206" s="4" t="s">
        <v>1177</v>
      </c>
      <c r="D206" s="7" t="s">
        <v>647</v>
      </c>
      <c r="E206" s="10">
        <v>0.1</v>
      </c>
      <c r="F206" s="10">
        <v>0.91</v>
      </c>
      <c r="G206" s="16">
        <v>12.39</v>
      </c>
      <c r="H206" s="16">
        <v>9.77</v>
      </c>
      <c r="I206" s="16">
        <v>0</v>
      </c>
      <c r="J206" s="16">
        <v>0</v>
      </c>
      <c r="K206" s="17">
        <v>0.06</v>
      </c>
      <c r="L206" s="12">
        <v>18</v>
      </c>
      <c r="M206" s="12">
        <v>32</v>
      </c>
      <c r="N206" s="7" t="s">
        <v>198</v>
      </c>
      <c r="O206" s="7" t="s">
        <v>648</v>
      </c>
      <c r="P206" s="7" t="s">
        <v>278</v>
      </c>
      <c r="Q206" s="4" t="s">
        <v>1178</v>
      </c>
    </row>
    <row r="207" spans="1:17" ht="30" customHeight="1">
      <c r="A207" s="4" t="s">
        <v>1175</v>
      </c>
      <c r="B207" s="7" t="s">
        <v>1179</v>
      </c>
      <c r="C207" s="4" t="s">
        <v>1180</v>
      </c>
      <c r="D207" s="7" t="s">
        <v>647</v>
      </c>
      <c r="E207" s="10">
        <v>0.45</v>
      </c>
      <c r="F207" s="10">
        <v>0.88</v>
      </c>
      <c r="G207" s="16">
        <v>57.66</v>
      </c>
      <c r="H207" s="16">
        <v>45.45</v>
      </c>
      <c r="I207" s="16">
        <v>0</v>
      </c>
      <c r="J207" s="16">
        <v>0</v>
      </c>
      <c r="K207" s="17">
        <v>0.06</v>
      </c>
      <c r="L207" s="12">
        <v>85</v>
      </c>
      <c r="M207" s="12">
        <v>140</v>
      </c>
      <c r="N207" s="7" t="s">
        <v>200</v>
      </c>
      <c r="O207" s="7" t="s">
        <v>648</v>
      </c>
      <c r="P207" s="7" t="s">
        <v>278</v>
      </c>
      <c r="Q207" s="4" t="s">
        <v>1181</v>
      </c>
    </row>
    <row r="208" spans="1:17" ht="30" customHeight="1">
      <c r="A208" s="4" t="s">
        <v>1175</v>
      </c>
      <c r="B208" s="7" t="s">
        <v>1182</v>
      </c>
      <c r="C208" s="4" t="s">
        <v>1183</v>
      </c>
      <c r="D208" s="7" t="s">
        <v>647</v>
      </c>
      <c r="E208" s="10">
        <v>0.55</v>
      </c>
      <c r="F208" s="10">
        <v>0.88</v>
      </c>
      <c r="G208" s="16">
        <v>70.47</v>
      </c>
      <c r="H208" s="16">
        <v>55.55</v>
      </c>
      <c r="I208" s="16">
        <v>0</v>
      </c>
      <c r="J208" s="16">
        <v>0</v>
      </c>
      <c r="K208" s="17">
        <v>0.06</v>
      </c>
      <c r="L208" s="12">
        <v>105</v>
      </c>
      <c r="M208" s="12">
        <v>175</v>
      </c>
      <c r="N208" s="7" t="s">
        <v>200</v>
      </c>
      <c r="O208" s="7" t="s">
        <v>648</v>
      </c>
      <c r="P208" s="7" t="s">
        <v>278</v>
      </c>
      <c r="Q208" s="4" t="s">
        <v>1184</v>
      </c>
    </row>
    <row r="209" spans="1:17" ht="30" customHeight="1">
      <c r="A209" s="4" t="s">
        <v>1175</v>
      </c>
      <c r="B209" s="7" t="s">
        <v>1185</v>
      </c>
      <c r="C209" s="4" t="s">
        <v>1186</v>
      </c>
      <c r="D209" s="7" t="s">
        <v>647</v>
      </c>
      <c r="E209" s="10">
        <v>0.65</v>
      </c>
      <c r="F209" s="10">
        <v>0.88</v>
      </c>
      <c r="G209" s="16">
        <v>83.28</v>
      </c>
      <c r="H209" s="16">
        <v>65.65000000000001</v>
      </c>
      <c r="I209" s="16">
        <v>0</v>
      </c>
      <c r="J209" s="16">
        <v>0</v>
      </c>
      <c r="K209" s="17">
        <v>0.06</v>
      </c>
      <c r="L209" s="12">
        <v>135</v>
      </c>
      <c r="M209" s="12">
        <v>220</v>
      </c>
      <c r="N209" s="7" t="s">
        <v>200</v>
      </c>
      <c r="O209" s="7" t="s">
        <v>648</v>
      </c>
      <c r="P209" s="7" t="s">
        <v>278</v>
      </c>
      <c r="Q209" s="4" t="s">
        <v>1187</v>
      </c>
    </row>
    <row r="210" spans="1:17" ht="30" customHeight="1">
      <c r="A210" s="4" t="s">
        <v>1175</v>
      </c>
      <c r="B210" s="7" t="s">
        <v>1188</v>
      </c>
      <c r="C210" s="4" t="s">
        <v>1189</v>
      </c>
      <c r="D210" s="7" t="s">
        <v>647</v>
      </c>
      <c r="E210" s="10">
        <v>12</v>
      </c>
      <c r="F210" s="10">
        <v>0.9</v>
      </c>
      <c r="G210" s="16">
        <v>1476.67</v>
      </c>
      <c r="H210" s="16">
        <v>346.67</v>
      </c>
      <c r="I210" s="16">
        <v>629.49</v>
      </c>
      <c r="J210" s="7" t="s">
        <v>852</v>
      </c>
      <c r="K210" s="17">
        <v>0.06</v>
      </c>
      <c r="L210" s="12">
        <v>2600</v>
      </c>
      <c r="M210" s="12">
        <v>4200</v>
      </c>
      <c r="N210" s="7" t="s">
        <v>198</v>
      </c>
      <c r="O210" s="7" t="s">
        <v>198</v>
      </c>
      <c r="P210" s="7" t="s">
        <v>282</v>
      </c>
      <c r="Q210" s="4" t="s">
        <v>1190</v>
      </c>
    </row>
    <row r="211" spans="1:17" ht="30" customHeight="1">
      <c r="A211" s="4" t="s">
        <v>1175</v>
      </c>
      <c r="B211" s="7" t="s">
        <v>1191</v>
      </c>
      <c r="C211" s="4" t="s">
        <v>1192</v>
      </c>
      <c r="D211" s="7" t="s">
        <v>647</v>
      </c>
      <c r="E211" s="10">
        <v>14</v>
      </c>
      <c r="F211" s="10">
        <v>0.9</v>
      </c>
      <c r="G211" s="16">
        <v>1722.78</v>
      </c>
      <c r="H211" s="16">
        <v>404.44</v>
      </c>
      <c r="I211" s="16">
        <v>561.46</v>
      </c>
      <c r="J211" s="7" t="s">
        <v>852</v>
      </c>
      <c r="K211" s="17">
        <v>0.06</v>
      </c>
      <c r="L211" s="12">
        <v>2850</v>
      </c>
      <c r="M211" s="12">
        <v>4500</v>
      </c>
      <c r="N211" s="7" t="s">
        <v>198</v>
      </c>
      <c r="O211" s="7" t="s">
        <v>198</v>
      </c>
      <c r="P211" s="7" t="s">
        <v>282</v>
      </c>
      <c r="Q211" s="4" t="s">
        <v>1193</v>
      </c>
    </row>
    <row r="212" spans="1:17" ht="30" customHeight="1">
      <c r="A212" s="4" t="s">
        <v>1175</v>
      </c>
      <c r="B212" s="7" t="s">
        <v>1194</v>
      </c>
      <c r="C212" s="4" t="s">
        <v>1195</v>
      </c>
      <c r="D212" s="7" t="s">
        <v>716</v>
      </c>
      <c r="E212" s="7" t="s">
        <v>852</v>
      </c>
      <c r="F212" s="7" t="s">
        <v>852</v>
      </c>
      <c r="G212" s="7" t="s">
        <v>852</v>
      </c>
      <c r="H212" s="7" t="s">
        <v>852</v>
      </c>
      <c r="I212" s="7" t="s">
        <v>852</v>
      </c>
      <c r="J212" s="16">
        <v>100000</v>
      </c>
      <c r="K212" s="17">
        <v>0.05</v>
      </c>
      <c r="L212" s="12">
        <v>65000</v>
      </c>
      <c r="M212" s="12">
        <v>135000</v>
      </c>
      <c r="N212" s="7" t="s">
        <v>198</v>
      </c>
      <c r="O212" s="7" t="s">
        <v>198</v>
      </c>
      <c r="P212" s="7" t="s">
        <v>282</v>
      </c>
      <c r="Q212" s="4" t="s">
        <v>1196</v>
      </c>
    </row>
    <row r="213" spans="1:17" ht="30" customHeight="1">
      <c r="A213" s="4" t="s">
        <v>1175</v>
      </c>
      <c r="B213" s="7" t="s">
        <v>1197</v>
      </c>
      <c r="C213" s="4" t="s">
        <v>1198</v>
      </c>
      <c r="D213" s="7" t="s">
        <v>682</v>
      </c>
      <c r="E213" s="10">
        <v>0.04</v>
      </c>
      <c r="F213" s="10">
        <v>0.91</v>
      </c>
      <c r="G213" s="16">
        <v>5.1</v>
      </c>
      <c r="H213" s="16">
        <v>1.28</v>
      </c>
      <c r="I213" s="16">
        <v>0</v>
      </c>
      <c r="J213" s="16">
        <v>0</v>
      </c>
      <c r="K213" s="17">
        <v>0.06</v>
      </c>
      <c r="L213" s="12">
        <v>5</v>
      </c>
      <c r="M213" s="12">
        <v>9</v>
      </c>
      <c r="N213" s="7" t="s">
        <v>200</v>
      </c>
      <c r="O213" s="7" t="s">
        <v>198</v>
      </c>
      <c r="P213" s="7" t="s">
        <v>280</v>
      </c>
      <c r="Q213" s="4" t="s">
        <v>1199</v>
      </c>
    </row>
    <row r="214" spans="1:17" ht="30" customHeight="1">
      <c r="A214" s="4" t="s">
        <v>1175</v>
      </c>
      <c r="B214" s="7" t="s">
        <v>1200</v>
      </c>
      <c r="C214" s="4" t="s">
        <v>1201</v>
      </c>
      <c r="D214" s="7" t="s">
        <v>710</v>
      </c>
      <c r="E214" s="10">
        <v>0.25</v>
      </c>
      <c r="F214" s="10">
        <v>0.91</v>
      </c>
      <c r="G214" s="16">
        <v>31.15</v>
      </c>
      <c r="H214" s="16">
        <v>23.42</v>
      </c>
      <c r="I214" s="16">
        <v>0</v>
      </c>
      <c r="J214" s="16">
        <v>0</v>
      </c>
      <c r="K214" s="17">
        <v>0.06</v>
      </c>
      <c r="L214" s="12">
        <v>25</v>
      </c>
      <c r="M214" s="12">
        <v>45</v>
      </c>
      <c r="N214" s="7" t="s">
        <v>198</v>
      </c>
      <c r="O214" s="7" t="s">
        <v>648</v>
      </c>
      <c r="P214" s="7" t="s">
        <v>276</v>
      </c>
      <c r="Q214" s="4" t="s">
        <v>1202</v>
      </c>
    </row>
    <row r="216" spans="1:17">
      <c r="A216" s="13" t="s">
        <v>1203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</sheetData>
  <mergeCells count="29">
    <mergeCell ref="A1:Q1"/>
    <mergeCell ref="A2:Q2"/>
    <mergeCell ref="A3:Q3"/>
    <mergeCell ref="A5:Q5"/>
    <mergeCell ref="A21:Q21"/>
    <mergeCell ref="A32:Q32"/>
    <mergeCell ref="A41:Q41"/>
    <mergeCell ref="A50:Q50"/>
    <mergeCell ref="A66:Q66"/>
    <mergeCell ref="A72:Q72"/>
    <mergeCell ref="A81:Q81"/>
    <mergeCell ref="A86:Q86"/>
    <mergeCell ref="A91:Q91"/>
    <mergeCell ref="A97:Q97"/>
    <mergeCell ref="A105:Q105"/>
    <mergeCell ref="A109:Q109"/>
    <mergeCell ref="A114:Q114"/>
    <mergeCell ref="A117:Q117"/>
    <mergeCell ref="A122:Q122"/>
    <mergeCell ref="A126:Q126"/>
    <mergeCell ref="A129:Q129"/>
    <mergeCell ref="A142:Q142"/>
    <mergeCell ref="A156:Q156"/>
    <mergeCell ref="A167:Q167"/>
    <mergeCell ref="A179:Q179"/>
    <mergeCell ref="A190:Q190"/>
    <mergeCell ref="A197:Q197"/>
    <mergeCell ref="A205:Q205"/>
    <mergeCell ref="A216:Q2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18.7109375" customWidth="1"/>
    <col min="3" max="3" width="38.7109375" customWidth="1"/>
    <col min="4" max="8" width="8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1204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1205</v>
      </c>
      <c r="B4" s="6" t="s">
        <v>1206</v>
      </c>
      <c r="C4" s="6" t="s">
        <v>1207</v>
      </c>
      <c r="D4" s="6"/>
      <c r="E4" s="6"/>
      <c r="F4" s="6"/>
      <c r="G4" s="6"/>
      <c r="H4" s="6"/>
    </row>
    <row r="5" spans="1:8" ht="22" customHeight="1">
      <c r="A5" s="4" t="s">
        <v>1208</v>
      </c>
      <c r="B5" s="14" t="s">
        <v>1209</v>
      </c>
      <c r="C5" s="4" t="s">
        <v>1210</v>
      </c>
    </row>
    <row r="6" spans="1:8" ht="22" customHeight="1">
      <c r="A6" s="4" t="s">
        <v>1211</v>
      </c>
      <c r="B6" s="14" t="s">
        <v>1209</v>
      </c>
      <c r="C6" s="4" t="s">
        <v>1212</v>
      </c>
    </row>
    <row r="7" spans="1:8" ht="22" customHeight="1">
      <c r="A7" s="4" t="s">
        <v>1213</v>
      </c>
      <c r="B7" s="14" t="s">
        <v>647</v>
      </c>
      <c r="C7" s="4" t="s">
        <v>1214</v>
      </c>
    </row>
    <row r="8" spans="1:8" ht="22" customHeight="1">
      <c r="A8" s="4" t="s">
        <v>1215</v>
      </c>
      <c r="B8" s="14" t="s">
        <v>278</v>
      </c>
      <c r="C8" s="4" t="s">
        <v>1216</v>
      </c>
    </row>
    <row r="9" spans="1:8" ht="22" customHeight="1">
      <c r="A9" s="4" t="s">
        <v>1217</v>
      </c>
      <c r="B9" s="18">
        <v>201.63</v>
      </c>
      <c r="C9" s="4" t="s">
        <v>1218</v>
      </c>
    </row>
    <row r="10" spans="1:8" ht="22" customHeight="1">
      <c r="A10" s="4" t="s">
        <v>1219</v>
      </c>
      <c r="B10" s="18">
        <v>0.1</v>
      </c>
      <c r="C10" s="4" t="s">
        <v>1220</v>
      </c>
    </row>
    <row r="11" spans="1:8" ht="22" customHeight="1">
      <c r="A11" s="4" t="s">
        <v>1221</v>
      </c>
      <c r="B11" s="18">
        <v>0.91</v>
      </c>
      <c r="C11" s="4" t="s">
        <v>1222</v>
      </c>
    </row>
    <row r="12" spans="1:8" ht="22" customHeight="1">
      <c r="A12" s="3" t="s">
        <v>1223</v>
      </c>
      <c r="B12" s="19">
        <f>B10/B11*B9</f>
        <v>0</v>
      </c>
      <c r="C12" s="4" t="s">
        <v>1224</v>
      </c>
    </row>
    <row r="13" spans="1:8" ht="22" customHeight="1">
      <c r="A13" s="4" t="s">
        <v>1225</v>
      </c>
      <c r="B13" s="18">
        <v>0</v>
      </c>
      <c r="C13" s="4" t="s">
        <v>1226</v>
      </c>
    </row>
    <row r="14" spans="1:8" ht="22" customHeight="1">
      <c r="A14" s="4" t="s">
        <v>1227</v>
      </c>
      <c r="B14" s="18">
        <v>0.05</v>
      </c>
      <c r="C14" s="4" t="s">
        <v>1228</v>
      </c>
    </row>
    <row r="15" spans="1:8" ht="22" customHeight="1">
      <c r="A15" s="3" t="s">
        <v>1229</v>
      </c>
      <c r="B15" s="19">
        <f>B13*(1+B14)</f>
        <v>0</v>
      </c>
      <c r="C15" s="4" t="s">
        <v>1230</v>
      </c>
    </row>
    <row r="16" spans="1:8" ht="22" customHeight="1">
      <c r="A16" s="4" t="s">
        <v>1231</v>
      </c>
      <c r="B16" s="18">
        <v>0</v>
      </c>
      <c r="C16" s="4" t="s">
        <v>1232</v>
      </c>
    </row>
    <row r="17" spans="1:8" ht="22" customHeight="1">
      <c r="A17" s="4" t="s">
        <v>1233</v>
      </c>
      <c r="B17" s="18">
        <v>0.06</v>
      </c>
      <c r="C17" s="4" t="s">
        <v>1234</v>
      </c>
    </row>
    <row r="18" spans="1:8" ht="22" customHeight="1">
      <c r="A18" s="3" t="s">
        <v>1235</v>
      </c>
      <c r="B18" s="19">
        <f>(B12+B15+B16)*(1+B17)</f>
        <v>0</v>
      </c>
      <c r="C18" s="4" t="s">
        <v>1236</v>
      </c>
    </row>
    <row r="19" spans="1:8" ht="22" customHeight="1">
      <c r="A19" s="4" t="s">
        <v>1237</v>
      </c>
      <c r="B19" s="18">
        <v>0.1</v>
      </c>
      <c r="C19" s="4" t="s">
        <v>1238</v>
      </c>
    </row>
    <row r="20" spans="1:8" ht="22" customHeight="1">
      <c r="A20" s="4" t="s">
        <v>1239</v>
      </c>
      <c r="B20" s="18">
        <v>1</v>
      </c>
      <c r="C20" s="4" t="s">
        <v>1240</v>
      </c>
    </row>
    <row r="21" spans="1:8" ht="26" customHeight="1">
      <c r="A21" s="3" t="s">
        <v>1241</v>
      </c>
      <c r="B21" s="19">
        <f>B18*(1+B19)*B20</f>
        <v>0</v>
      </c>
      <c r="C21" s="4" t="s">
        <v>1242</v>
      </c>
    </row>
    <row r="23" spans="1:8">
      <c r="A23" s="13" t="s">
        <v>1243</v>
      </c>
      <c r="B23" s="13"/>
      <c r="C23" s="13"/>
      <c r="D23" s="13"/>
      <c r="E23" s="13"/>
      <c r="F23" s="13"/>
      <c r="G23" s="13"/>
      <c r="H23" s="13"/>
    </row>
  </sheetData>
  <mergeCells count="4">
    <mergeCell ref="A1:H1"/>
    <mergeCell ref="A2:H2"/>
    <mergeCell ref="A3:H3"/>
    <mergeCell ref="A23:H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50.7109375" customWidth="1"/>
    <col min="3" max="3" width="12.7109375" customWidth="1"/>
    <col min="4" max="5" width="16.7109375" customWidth="1"/>
    <col min="6" max="6" width="6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1244</v>
      </c>
      <c r="B3" s="5"/>
      <c r="C3" s="5"/>
      <c r="D3" s="5"/>
      <c r="E3" s="5"/>
      <c r="F3" s="5"/>
    </row>
    <row r="4" spans="1:6" ht="32" customHeight="1">
      <c r="A4" s="6" t="s">
        <v>1245</v>
      </c>
      <c r="B4" s="6" t="s">
        <v>1246</v>
      </c>
      <c r="C4" s="6" t="s">
        <v>630</v>
      </c>
      <c r="D4" s="6" t="s">
        <v>1247</v>
      </c>
      <c r="E4" s="6" t="s">
        <v>1248</v>
      </c>
      <c r="F4" s="6" t="s">
        <v>1249</v>
      </c>
    </row>
    <row r="5" spans="1:6" ht="24" customHeight="1">
      <c r="A5" s="3" t="s">
        <v>1250</v>
      </c>
      <c r="B5" s="4" t="s">
        <v>1251</v>
      </c>
      <c r="C5" s="7" t="s">
        <v>1252</v>
      </c>
      <c r="D5" s="11">
        <v>55</v>
      </c>
      <c r="E5" s="11">
        <v>120</v>
      </c>
      <c r="F5" s="4" t="s">
        <v>1253</v>
      </c>
    </row>
    <row r="6" spans="1:6" ht="24" customHeight="1">
      <c r="A6" s="3" t="s">
        <v>1250</v>
      </c>
      <c r="B6" s="4" t="s">
        <v>1254</v>
      </c>
      <c r="C6" s="7" t="s">
        <v>1252</v>
      </c>
      <c r="D6" s="11">
        <v>22</v>
      </c>
      <c r="E6" s="11">
        <v>45</v>
      </c>
      <c r="F6" s="4" t="s">
        <v>1255</v>
      </c>
    </row>
    <row r="7" spans="1:6" ht="24" customHeight="1">
      <c r="A7" s="3" t="s">
        <v>1250</v>
      </c>
      <c r="B7" s="4" t="s">
        <v>1256</v>
      </c>
      <c r="C7" s="7" t="s">
        <v>1257</v>
      </c>
      <c r="D7" s="11">
        <v>22</v>
      </c>
      <c r="E7" s="11">
        <v>42</v>
      </c>
      <c r="F7" s="4" t="s">
        <v>1258</v>
      </c>
    </row>
    <row r="8" spans="1:6" ht="24" customHeight="1">
      <c r="A8" s="3" t="s">
        <v>1250</v>
      </c>
      <c r="B8" s="4" t="s">
        <v>1259</v>
      </c>
      <c r="C8" s="7" t="s">
        <v>1257</v>
      </c>
      <c r="D8" s="11">
        <v>65</v>
      </c>
      <c r="E8" s="11">
        <v>120</v>
      </c>
      <c r="F8" s="4" t="s">
        <v>576</v>
      </c>
    </row>
    <row r="9" spans="1:6" ht="24" customHeight="1">
      <c r="A9" s="3" t="s">
        <v>1250</v>
      </c>
      <c r="B9" s="4" t="s">
        <v>1260</v>
      </c>
      <c r="C9" s="7" t="s">
        <v>1261</v>
      </c>
      <c r="D9" s="11">
        <v>8500</v>
      </c>
      <c r="E9" s="11">
        <v>18000</v>
      </c>
      <c r="F9" s="4" t="s">
        <v>1262</v>
      </c>
    </row>
    <row r="10" spans="1:6" ht="24" customHeight="1">
      <c r="A10" s="3" t="s">
        <v>1263</v>
      </c>
      <c r="B10" s="4" t="s">
        <v>1264</v>
      </c>
      <c r="C10" s="7" t="s">
        <v>1252</v>
      </c>
      <c r="D10" s="11">
        <v>22</v>
      </c>
      <c r="E10" s="11">
        <v>45</v>
      </c>
      <c r="F10" s="4" t="s">
        <v>1265</v>
      </c>
    </row>
    <row r="11" spans="1:6" ht="24" customHeight="1">
      <c r="A11" s="3" t="s">
        <v>1263</v>
      </c>
      <c r="B11" s="4" t="s">
        <v>1266</v>
      </c>
      <c r="C11" s="7" t="s">
        <v>1257</v>
      </c>
      <c r="D11" s="11">
        <v>28</v>
      </c>
      <c r="E11" s="11">
        <v>55</v>
      </c>
      <c r="F11" s="4" t="s">
        <v>1267</v>
      </c>
    </row>
    <row r="12" spans="1:6" ht="24" customHeight="1">
      <c r="A12" s="3" t="s">
        <v>1263</v>
      </c>
      <c r="B12" s="4" t="s">
        <v>1268</v>
      </c>
      <c r="C12" s="7" t="s">
        <v>1269</v>
      </c>
      <c r="D12" s="11">
        <v>280</v>
      </c>
      <c r="E12" s="11">
        <v>500</v>
      </c>
      <c r="F12" s="4" t="s">
        <v>1270</v>
      </c>
    </row>
    <row r="13" spans="1:6" ht="24" customHeight="1">
      <c r="A13" s="3" t="s">
        <v>1271</v>
      </c>
      <c r="B13" s="4" t="s">
        <v>1272</v>
      </c>
      <c r="C13" s="7" t="s">
        <v>1269</v>
      </c>
      <c r="D13" s="11">
        <v>1000</v>
      </c>
      <c r="E13" s="11">
        <v>1600</v>
      </c>
      <c r="F13" s="4"/>
    </row>
    <row r="14" spans="1:6" ht="24" customHeight="1">
      <c r="A14" s="3" t="s">
        <v>1271</v>
      </c>
      <c r="B14" s="4" t="s">
        <v>1273</v>
      </c>
      <c r="C14" s="7" t="s">
        <v>1269</v>
      </c>
      <c r="D14" s="11">
        <v>230</v>
      </c>
      <c r="E14" s="11">
        <v>380</v>
      </c>
      <c r="F14" s="4" t="s">
        <v>1274</v>
      </c>
    </row>
    <row r="15" spans="1:6" ht="24" customHeight="1">
      <c r="A15" s="3" t="s">
        <v>1271</v>
      </c>
      <c r="B15" s="4" t="s">
        <v>1275</v>
      </c>
      <c r="C15" s="7" t="s">
        <v>1276</v>
      </c>
      <c r="D15" s="11">
        <v>2200</v>
      </c>
      <c r="E15" s="11">
        <v>3500</v>
      </c>
      <c r="F15" s="4"/>
    </row>
    <row r="16" spans="1:6" ht="24" customHeight="1">
      <c r="A16" s="3" t="s">
        <v>1271</v>
      </c>
      <c r="B16" s="4" t="s">
        <v>1277</v>
      </c>
      <c r="C16" s="7" t="s">
        <v>1276</v>
      </c>
      <c r="D16" s="11">
        <v>8000</v>
      </c>
      <c r="E16" s="11">
        <v>12000</v>
      </c>
      <c r="F16" s="4"/>
    </row>
    <row r="17" spans="1:6" ht="24" customHeight="1">
      <c r="A17" s="3" t="s">
        <v>1278</v>
      </c>
      <c r="B17" s="4" t="s">
        <v>1279</v>
      </c>
      <c r="C17" s="7" t="s">
        <v>1252</v>
      </c>
      <c r="D17" s="11">
        <v>2200</v>
      </c>
      <c r="E17" s="11">
        <v>3500</v>
      </c>
      <c r="F17" s="4" t="s">
        <v>1280</v>
      </c>
    </row>
    <row r="18" spans="1:6" ht="24" customHeight="1">
      <c r="A18" s="3" t="s">
        <v>1278</v>
      </c>
      <c r="B18" s="4" t="s">
        <v>1281</v>
      </c>
      <c r="C18" s="7" t="s">
        <v>1257</v>
      </c>
      <c r="D18" s="11">
        <v>90</v>
      </c>
      <c r="E18" s="11">
        <v>160</v>
      </c>
      <c r="F18" s="4" t="s">
        <v>1282</v>
      </c>
    </row>
    <row r="19" spans="1:6" ht="24" customHeight="1">
      <c r="A19" s="3" t="s">
        <v>1278</v>
      </c>
      <c r="B19" s="4" t="s">
        <v>1283</v>
      </c>
      <c r="C19" s="7" t="s">
        <v>1284</v>
      </c>
      <c r="D19" s="11">
        <v>3800</v>
      </c>
      <c r="E19" s="11">
        <v>6500</v>
      </c>
      <c r="F19" s="4" t="s">
        <v>1285</v>
      </c>
    </row>
    <row r="20" spans="1:6" ht="24" customHeight="1">
      <c r="A20" s="3" t="s">
        <v>1286</v>
      </c>
      <c r="B20" s="4" t="s">
        <v>1287</v>
      </c>
      <c r="C20" s="7" t="s">
        <v>1288</v>
      </c>
      <c r="D20" s="11">
        <v>3000</v>
      </c>
      <c r="E20" s="11">
        <v>9000</v>
      </c>
      <c r="F20" s="4" t="s">
        <v>1289</v>
      </c>
    </row>
    <row r="21" spans="1:6" ht="24" customHeight="1">
      <c r="A21" s="3" t="s">
        <v>1290</v>
      </c>
      <c r="B21" s="4" t="s">
        <v>1291</v>
      </c>
      <c r="C21" s="7" t="s">
        <v>1269</v>
      </c>
      <c r="D21" s="11">
        <v>150</v>
      </c>
      <c r="E21" s="11">
        <v>280</v>
      </c>
      <c r="F21" s="4" t="s">
        <v>1292</v>
      </c>
    </row>
    <row r="22" spans="1:6" ht="24" customHeight="1">
      <c r="A22" s="3" t="s">
        <v>1293</v>
      </c>
      <c r="B22" s="4" t="s">
        <v>1294</v>
      </c>
      <c r="C22" s="7" t="s">
        <v>1276</v>
      </c>
      <c r="D22" s="11">
        <v>4000</v>
      </c>
      <c r="E22" s="11">
        <v>8000</v>
      </c>
      <c r="F22" s="4" t="s">
        <v>888</v>
      </c>
    </row>
    <row r="23" spans="1:6" ht="24" customHeight="1">
      <c r="A23" s="3" t="s">
        <v>1295</v>
      </c>
      <c r="B23" s="4" t="s">
        <v>1296</v>
      </c>
      <c r="C23" s="7" t="s">
        <v>1297</v>
      </c>
      <c r="D23" s="7" t="s">
        <v>1298</v>
      </c>
      <c r="E23" s="7" t="s">
        <v>1299</v>
      </c>
      <c r="F23" s="4" t="s">
        <v>1300</v>
      </c>
    </row>
    <row r="24" spans="1:6" ht="24" customHeight="1">
      <c r="A24" s="3" t="s">
        <v>1295</v>
      </c>
      <c r="B24" s="4" t="s">
        <v>1301</v>
      </c>
      <c r="C24" s="7" t="s">
        <v>1302</v>
      </c>
      <c r="D24" s="7" t="s">
        <v>1303</v>
      </c>
      <c r="E24" s="7" t="s">
        <v>1304</v>
      </c>
      <c r="F24" s="4" t="s">
        <v>1305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12.7109375" customWidth="1"/>
    <col min="4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1306</v>
      </c>
      <c r="B3" s="5"/>
      <c r="C3" s="5"/>
      <c r="D3" s="5"/>
      <c r="E3" s="5"/>
      <c r="F3" s="5"/>
    </row>
    <row r="4" spans="1:6" ht="32" customHeight="1">
      <c r="A4" s="6" t="s">
        <v>1245</v>
      </c>
      <c r="B4" s="6" t="s">
        <v>228</v>
      </c>
      <c r="C4" s="6" t="s">
        <v>630</v>
      </c>
      <c r="D4" s="6" t="s">
        <v>1307</v>
      </c>
      <c r="E4" s="6" t="s">
        <v>1308</v>
      </c>
      <c r="F4" s="6" t="s">
        <v>335</v>
      </c>
    </row>
    <row r="5" spans="1:6" ht="18" customHeight="1">
      <c r="A5" s="9" t="s">
        <v>1309</v>
      </c>
      <c r="B5" s="9"/>
      <c r="C5" s="9"/>
      <c r="D5" s="9"/>
      <c r="E5" s="9"/>
      <c r="F5" s="9"/>
    </row>
    <row r="6" spans="1:6" ht="24" customHeight="1">
      <c r="A6" s="4" t="s">
        <v>1309</v>
      </c>
      <c r="B6" s="4" t="s">
        <v>1310</v>
      </c>
      <c r="C6" s="7" t="s">
        <v>1311</v>
      </c>
      <c r="D6" s="11">
        <v>1500</v>
      </c>
      <c r="E6" s="11">
        <v>2500</v>
      </c>
      <c r="F6" s="4"/>
    </row>
    <row r="7" spans="1:6" ht="24" customHeight="1">
      <c r="A7" s="4" t="s">
        <v>1309</v>
      </c>
      <c r="B7" s="4" t="s">
        <v>1312</v>
      </c>
      <c r="C7" s="7" t="s">
        <v>1311</v>
      </c>
      <c r="D7" s="11">
        <v>4500</v>
      </c>
      <c r="E7" s="11">
        <v>8500</v>
      </c>
      <c r="F7" s="4" t="s">
        <v>1313</v>
      </c>
    </row>
    <row r="8" spans="1:6" ht="24" customHeight="1">
      <c r="A8" s="4" t="s">
        <v>1309</v>
      </c>
      <c r="B8" s="4" t="s">
        <v>1314</v>
      </c>
      <c r="C8" s="7" t="s">
        <v>1311</v>
      </c>
      <c r="D8" s="11">
        <v>9500</v>
      </c>
      <c r="E8" s="11">
        <v>16000</v>
      </c>
      <c r="F8" s="4"/>
    </row>
    <row r="9" spans="1:6" ht="24" customHeight="1">
      <c r="A9" s="4" t="s">
        <v>1309</v>
      </c>
      <c r="B9" s="4" t="s">
        <v>1315</v>
      </c>
      <c r="C9" s="7" t="s">
        <v>1311</v>
      </c>
      <c r="D9" s="11">
        <v>850</v>
      </c>
      <c r="E9" s="11">
        <v>2500</v>
      </c>
      <c r="F9" s="4" t="s">
        <v>1316</v>
      </c>
    </row>
    <row r="10" spans="1:6" ht="24" customHeight="1">
      <c r="A10" s="4" t="s">
        <v>1309</v>
      </c>
      <c r="B10" s="4" t="s">
        <v>1317</v>
      </c>
      <c r="C10" s="7" t="s">
        <v>1311</v>
      </c>
      <c r="D10" s="11">
        <v>1200</v>
      </c>
      <c r="E10" s="11">
        <v>1800</v>
      </c>
      <c r="F10" s="4" t="s">
        <v>1318</v>
      </c>
    </row>
    <row r="11" spans="1:6" ht="24" customHeight="1">
      <c r="A11" s="4" t="s">
        <v>1309</v>
      </c>
      <c r="B11" s="4" t="s">
        <v>1319</v>
      </c>
      <c r="C11" s="7" t="s">
        <v>1311</v>
      </c>
      <c r="D11" s="11">
        <v>3500</v>
      </c>
      <c r="E11" s="11">
        <v>6500</v>
      </c>
      <c r="F11" s="4" t="s">
        <v>1320</v>
      </c>
    </row>
    <row r="12" spans="1:6" ht="24" customHeight="1">
      <c r="A12" s="4" t="s">
        <v>1309</v>
      </c>
      <c r="B12" s="4" t="s">
        <v>1321</v>
      </c>
      <c r="C12" s="7" t="s">
        <v>876</v>
      </c>
      <c r="D12" s="11">
        <v>35000</v>
      </c>
      <c r="E12" s="11">
        <v>85000</v>
      </c>
      <c r="F12" s="4" t="s">
        <v>1322</v>
      </c>
    </row>
    <row r="13" spans="1:6" ht="18" customHeight="1">
      <c r="A13" s="9" t="s">
        <v>1323</v>
      </c>
      <c r="B13" s="9"/>
      <c r="C13" s="9"/>
      <c r="D13" s="9"/>
      <c r="E13" s="9"/>
      <c r="F13" s="9"/>
    </row>
    <row r="14" spans="1:6" ht="24" customHeight="1">
      <c r="A14" s="4" t="s">
        <v>1323</v>
      </c>
      <c r="B14" s="4" t="s">
        <v>1324</v>
      </c>
      <c r="C14" s="7" t="s">
        <v>1311</v>
      </c>
      <c r="D14" s="11">
        <v>14000</v>
      </c>
      <c r="E14" s="11">
        <v>20000</v>
      </c>
      <c r="F14" s="4"/>
    </row>
    <row r="15" spans="1:6" ht="24" customHeight="1">
      <c r="A15" s="4" t="s">
        <v>1323</v>
      </c>
      <c r="B15" s="4" t="s">
        <v>1325</v>
      </c>
      <c r="C15" s="7" t="s">
        <v>1311</v>
      </c>
      <c r="D15" s="11">
        <v>11000</v>
      </c>
      <c r="E15" s="11">
        <v>16000</v>
      </c>
      <c r="F15" s="4"/>
    </row>
    <row r="16" spans="1:6" ht="24" customHeight="1">
      <c r="A16" s="4" t="s">
        <v>1323</v>
      </c>
      <c r="B16" s="4" t="s">
        <v>1326</v>
      </c>
      <c r="C16" s="7" t="s">
        <v>1311</v>
      </c>
      <c r="D16" s="11">
        <v>12000</v>
      </c>
      <c r="E16" s="11">
        <v>17000</v>
      </c>
      <c r="F16" s="4" t="s">
        <v>1327</v>
      </c>
    </row>
    <row r="17" spans="1:6" ht="24" customHeight="1">
      <c r="A17" s="4" t="s">
        <v>1323</v>
      </c>
      <c r="B17" s="4" t="s">
        <v>1328</v>
      </c>
      <c r="C17" s="7" t="s">
        <v>1311</v>
      </c>
      <c r="D17" s="11">
        <v>16000</v>
      </c>
      <c r="E17" s="11">
        <v>24000</v>
      </c>
      <c r="F17" s="4"/>
    </row>
    <row r="18" spans="1:6" ht="24" customHeight="1">
      <c r="A18" s="4" t="s">
        <v>1323</v>
      </c>
      <c r="B18" s="4" t="s">
        <v>344</v>
      </c>
      <c r="C18" s="7" t="s">
        <v>1311</v>
      </c>
      <c r="D18" s="11">
        <v>13000</v>
      </c>
      <c r="E18" s="11">
        <v>19000</v>
      </c>
      <c r="F18" s="4"/>
    </row>
    <row r="19" spans="1:6" ht="24" customHeight="1">
      <c r="A19" s="4" t="s">
        <v>1323</v>
      </c>
      <c r="B19" s="4" t="s">
        <v>1329</v>
      </c>
      <c r="C19" s="7" t="s">
        <v>1311</v>
      </c>
      <c r="D19" s="11">
        <v>7500</v>
      </c>
      <c r="E19" s="11">
        <v>11000</v>
      </c>
      <c r="F19" s="4"/>
    </row>
    <row r="20" spans="1:6" ht="18" customHeight="1">
      <c r="A20" s="9" t="s">
        <v>1330</v>
      </c>
      <c r="B20" s="9"/>
      <c r="C20" s="9"/>
      <c r="D20" s="9"/>
      <c r="E20" s="9"/>
      <c r="F20" s="9"/>
    </row>
    <row r="21" spans="1:6" ht="24" customHeight="1">
      <c r="A21" s="4" t="s">
        <v>1330</v>
      </c>
      <c r="B21" s="4" t="s">
        <v>1331</v>
      </c>
      <c r="C21" s="7" t="s">
        <v>1332</v>
      </c>
      <c r="D21" s="11">
        <v>850</v>
      </c>
      <c r="E21" s="11">
        <v>1500</v>
      </c>
      <c r="F21" s="4" t="s">
        <v>1333</v>
      </c>
    </row>
    <row r="22" spans="1:6" ht="24" customHeight="1">
      <c r="A22" s="4" t="s">
        <v>1330</v>
      </c>
      <c r="B22" s="4" t="s">
        <v>1334</v>
      </c>
      <c r="C22" s="7" t="s">
        <v>1335</v>
      </c>
      <c r="D22" s="11">
        <v>185</v>
      </c>
      <c r="E22" s="11">
        <v>350</v>
      </c>
      <c r="F22" s="4" t="s">
        <v>1336</v>
      </c>
    </row>
    <row r="23" spans="1:6" ht="24" customHeight="1">
      <c r="A23" s="4" t="s">
        <v>1330</v>
      </c>
      <c r="B23" s="4" t="s">
        <v>1337</v>
      </c>
      <c r="C23" s="7" t="s">
        <v>1338</v>
      </c>
      <c r="D23" s="11">
        <v>250</v>
      </c>
      <c r="E23" s="11">
        <v>450</v>
      </c>
      <c r="F23" s="4" t="s">
        <v>1339</v>
      </c>
    </row>
    <row r="24" spans="1:6" ht="24" customHeight="1">
      <c r="A24" s="4" t="s">
        <v>1330</v>
      </c>
      <c r="B24" s="4" t="s">
        <v>1340</v>
      </c>
      <c r="C24" s="7" t="s">
        <v>1341</v>
      </c>
      <c r="D24" s="11">
        <v>2.5</v>
      </c>
      <c r="E24" s="11">
        <v>4.5</v>
      </c>
      <c r="F24" s="4" t="s">
        <v>1342</v>
      </c>
    </row>
    <row r="25" spans="1:6" ht="24" customHeight="1">
      <c r="A25" s="4" t="s">
        <v>1330</v>
      </c>
      <c r="B25" s="4" t="s">
        <v>1343</v>
      </c>
      <c r="C25" s="7" t="s">
        <v>1332</v>
      </c>
      <c r="D25" s="11">
        <v>2500</v>
      </c>
      <c r="E25" s="11">
        <v>4500</v>
      </c>
      <c r="F25" s="4" t="s">
        <v>1344</v>
      </c>
    </row>
    <row r="26" spans="1:6" ht="18" customHeight="1">
      <c r="A26" s="9" t="s">
        <v>1345</v>
      </c>
      <c r="B26" s="9"/>
      <c r="C26" s="9"/>
      <c r="D26" s="9"/>
      <c r="E26" s="9"/>
      <c r="F26" s="9"/>
    </row>
    <row r="27" spans="1:6" ht="24" customHeight="1">
      <c r="A27" s="4" t="s">
        <v>1345</v>
      </c>
      <c r="B27" s="4" t="s">
        <v>1346</v>
      </c>
      <c r="C27" s="7" t="s">
        <v>1311</v>
      </c>
      <c r="D27" s="11">
        <v>350</v>
      </c>
      <c r="E27" s="11">
        <v>750</v>
      </c>
      <c r="F27" s="4" t="s">
        <v>1347</v>
      </c>
    </row>
    <row r="28" spans="1:6" ht="24" customHeight="1">
      <c r="A28" s="4" t="s">
        <v>1345</v>
      </c>
      <c r="B28" s="4" t="s">
        <v>1348</v>
      </c>
      <c r="C28" s="7" t="s">
        <v>1349</v>
      </c>
      <c r="D28" s="11">
        <v>450</v>
      </c>
      <c r="E28" s="11">
        <v>950</v>
      </c>
      <c r="F28" s="4" t="s">
        <v>1350</v>
      </c>
    </row>
    <row r="29" spans="1:6" ht="24" customHeight="1">
      <c r="A29" s="4" t="s">
        <v>1345</v>
      </c>
      <c r="B29" s="4" t="s">
        <v>1351</v>
      </c>
      <c r="C29" s="7" t="s">
        <v>1311</v>
      </c>
      <c r="D29" s="11">
        <v>5500</v>
      </c>
      <c r="E29" s="11">
        <v>9500</v>
      </c>
      <c r="F29" s="4" t="s">
        <v>1352</v>
      </c>
    </row>
    <row r="30" spans="1:6" ht="18" customHeight="1">
      <c r="A30" s="9" t="s">
        <v>1353</v>
      </c>
      <c r="B30" s="9"/>
      <c r="C30" s="9"/>
      <c r="D30" s="9"/>
      <c r="E30" s="9"/>
      <c r="F30" s="9"/>
    </row>
    <row r="31" spans="1:6" ht="24" customHeight="1">
      <c r="A31" s="4" t="s">
        <v>1353</v>
      </c>
      <c r="B31" s="4" t="s">
        <v>1354</v>
      </c>
      <c r="C31" s="7" t="s">
        <v>1302</v>
      </c>
      <c r="D31" s="7" t="s">
        <v>1355</v>
      </c>
      <c r="E31" s="7" t="s">
        <v>1356</v>
      </c>
      <c r="F31" s="4" t="s">
        <v>1357</v>
      </c>
    </row>
    <row r="33" spans="1:6">
      <c r="A33" s="13" t="s">
        <v>1358</v>
      </c>
      <c r="B33" s="13"/>
      <c r="C33" s="13"/>
      <c r="D33" s="13"/>
      <c r="E33" s="13"/>
      <c r="F33" s="13"/>
    </row>
  </sheetData>
  <mergeCells count="9">
    <mergeCell ref="A1:F1"/>
    <mergeCell ref="A2:F2"/>
    <mergeCell ref="A3:F3"/>
    <mergeCell ref="A5:F5"/>
    <mergeCell ref="A13:F13"/>
    <mergeCell ref="A20:F20"/>
    <mergeCell ref="A26:F26"/>
    <mergeCell ref="A30:F30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48.7109375" customWidth="1"/>
    <col min="3" max="3" width="24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1359</v>
      </c>
      <c r="B3" s="5"/>
      <c r="C3" s="5"/>
      <c r="D3" s="5"/>
      <c r="E3" s="5"/>
      <c r="F3" s="5"/>
    </row>
    <row r="4" spans="1:6" ht="32" customHeight="1">
      <c r="A4" s="6" t="s">
        <v>1245</v>
      </c>
      <c r="B4" s="6" t="s">
        <v>228</v>
      </c>
      <c r="C4" s="6" t="s">
        <v>212</v>
      </c>
      <c r="D4" s="6" t="s">
        <v>1360</v>
      </c>
      <c r="E4" s="6" t="s">
        <v>1361</v>
      </c>
      <c r="F4" s="6" t="s">
        <v>335</v>
      </c>
    </row>
    <row r="5" spans="1:6" ht="18" customHeight="1">
      <c r="A5" s="9" t="s">
        <v>1362</v>
      </c>
      <c r="B5" s="9"/>
      <c r="C5" s="9"/>
      <c r="D5" s="9"/>
      <c r="E5" s="9"/>
      <c r="F5" s="9"/>
    </row>
    <row r="6" spans="1:6" ht="24" customHeight="1">
      <c r="A6" s="4" t="s">
        <v>1362</v>
      </c>
      <c r="B6" s="4" t="s">
        <v>1363</v>
      </c>
      <c r="C6" s="4" t="s">
        <v>1364</v>
      </c>
      <c r="D6" s="7" t="s">
        <v>1365</v>
      </c>
      <c r="E6" s="7" t="s">
        <v>1366</v>
      </c>
      <c r="F6" s="4" t="s">
        <v>1367</v>
      </c>
    </row>
    <row r="7" spans="1:6" ht="24" customHeight="1">
      <c r="A7" s="4" t="s">
        <v>1362</v>
      </c>
      <c r="B7" s="4" t="s">
        <v>1368</v>
      </c>
      <c r="C7" s="4" t="s">
        <v>1364</v>
      </c>
      <c r="D7" s="7" t="s">
        <v>1356</v>
      </c>
      <c r="E7" s="7" t="s">
        <v>1369</v>
      </c>
      <c r="F7" s="4" t="s">
        <v>1370</v>
      </c>
    </row>
    <row r="8" spans="1:6" ht="24" customHeight="1">
      <c r="A8" s="4" t="s">
        <v>1362</v>
      </c>
      <c r="B8" s="4" t="s">
        <v>1371</v>
      </c>
      <c r="C8" s="4" t="s">
        <v>1364</v>
      </c>
      <c r="D8" s="7" t="s">
        <v>1303</v>
      </c>
      <c r="E8" s="7" t="s">
        <v>1304</v>
      </c>
      <c r="F8" s="4" t="s">
        <v>1372</v>
      </c>
    </row>
    <row r="9" spans="1:6" ht="24" customHeight="1">
      <c r="A9" s="4" t="s">
        <v>1362</v>
      </c>
      <c r="B9" s="4" t="s">
        <v>1373</v>
      </c>
      <c r="C9" s="4" t="s">
        <v>1364</v>
      </c>
      <c r="D9" s="7" t="s">
        <v>1355</v>
      </c>
      <c r="E9" s="7" t="s">
        <v>1356</v>
      </c>
      <c r="F9" s="4" t="s">
        <v>1374</v>
      </c>
    </row>
    <row r="10" spans="1:6" ht="24" customHeight="1">
      <c r="A10" s="4" t="s">
        <v>1362</v>
      </c>
      <c r="B10" s="4" t="s">
        <v>1375</v>
      </c>
      <c r="C10" s="4" t="s">
        <v>1364</v>
      </c>
      <c r="D10" s="7" t="s">
        <v>1355</v>
      </c>
      <c r="E10" s="7" t="s">
        <v>1356</v>
      </c>
      <c r="F10" s="4" t="s">
        <v>1376</v>
      </c>
    </row>
    <row r="11" spans="1:6" ht="24" customHeight="1">
      <c r="A11" s="4" t="s">
        <v>1362</v>
      </c>
      <c r="B11" s="4" t="s">
        <v>1377</v>
      </c>
      <c r="C11" s="4" t="s">
        <v>1378</v>
      </c>
      <c r="D11" s="7" t="s">
        <v>1379</v>
      </c>
      <c r="E11" s="7" t="s">
        <v>852</v>
      </c>
      <c r="F11" s="4" t="s">
        <v>1380</v>
      </c>
    </row>
    <row r="12" spans="1:6" ht="18" customHeight="1">
      <c r="A12" s="9" t="s">
        <v>1381</v>
      </c>
      <c r="B12" s="9"/>
      <c r="C12" s="9"/>
      <c r="D12" s="9"/>
      <c r="E12" s="9"/>
      <c r="F12" s="9"/>
    </row>
    <row r="13" spans="1:6" ht="24" customHeight="1">
      <c r="A13" s="4" t="s">
        <v>1381</v>
      </c>
      <c r="B13" s="4" t="s">
        <v>1382</v>
      </c>
      <c r="C13" s="4" t="s">
        <v>1383</v>
      </c>
      <c r="D13" s="7" t="s">
        <v>1384</v>
      </c>
      <c r="E13" s="7" t="s">
        <v>1385</v>
      </c>
      <c r="F13" s="4" t="s">
        <v>1386</v>
      </c>
    </row>
    <row r="14" spans="1:6" ht="24" customHeight="1">
      <c r="A14" s="4" t="s">
        <v>1381</v>
      </c>
      <c r="B14" s="4" t="s">
        <v>1387</v>
      </c>
      <c r="C14" s="4" t="s">
        <v>1388</v>
      </c>
      <c r="D14" s="7" t="s">
        <v>1389</v>
      </c>
      <c r="E14" s="7" t="s">
        <v>1390</v>
      </c>
      <c r="F14" s="4" t="s">
        <v>1391</v>
      </c>
    </row>
    <row r="15" spans="1:6" ht="24" customHeight="1">
      <c r="A15" s="4" t="s">
        <v>1381</v>
      </c>
      <c r="B15" s="4" t="s">
        <v>1392</v>
      </c>
      <c r="C15" s="4" t="s">
        <v>1388</v>
      </c>
      <c r="D15" s="7" t="s">
        <v>1393</v>
      </c>
      <c r="E15" s="7" t="s">
        <v>1394</v>
      </c>
      <c r="F15" s="4" t="s">
        <v>1395</v>
      </c>
    </row>
    <row r="16" spans="1:6" ht="24" customHeight="1">
      <c r="A16" s="4" t="s">
        <v>1381</v>
      </c>
      <c r="B16" s="4" t="s">
        <v>1396</v>
      </c>
      <c r="C16" s="4" t="s">
        <v>1397</v>
      </c>
      <c r="D16" s="7" t="s">
        <v>1398</v>
      </c>
      <c r="E16" s="7" t="s">
        <v>1399</v>
      </c>
      <c r="F16" s="4" t="s">
        <v>1400</v>
      </c>
    </row>
    <row r="17" spans="1:6" ht="18" customHeight="1">
      <c r="A17" s="9" t="s">
        <v>1401</v>
      </c>
      <c r="B17" s="9"/>
      <c r="C17" s="9"/>
      <c r="D17" s="9"/>
      <c r="E17" s="9"/>
      <c r="F17" s="9"/>
    </row>
    <row r="18" spans="1:6" ht="24" customHeight="1">
      <c r="A18" s="4" t="s">
        <v>1401</v>
      </c>
      <c r="B18" s="4" t="s">
        <v>1402</v>
      </c>
      <c r="C18" s="4" t="s">
        <v>1403</v>
      </c>
      <c r="D18" s="7" t="s">
        <v>1404</v>
      </c>
      <c r="E18" s="7" t="s">
        <v>1405</v>
      </c>
      <c r="F18" s="4" t="s">
        <v>1406</v>
      </c>
    </row>
    <row r="19" spans="1:6" ht="24" customHeight="1">
      <c r="A19" s="4" t="s">
        <v>1401</v>
      </c>
      <c r="B19" s="4" t="s">
        <v>1407</v>
      </c>
      <c r="C19" s="4" t="s">
        <v>1403</v>
      </c>
      <c r="D19" s="7" t="s">
        <v>1408</v>
      </c>
      <c r="E19" s="7" t="s">
        <v>1409</v>
      </c>
      <c r="F19" s="4" t="s">
        <v>1410</v>
      </c>
    </row>
    <row r="20" spans="1:6" ht="24" customHeight="1">
      <c r="A20" s="4" t="s">
        <v>1401</v>
      </c>
      <c r="B20" s="4" t="s">
        <v>1411</v>
      </c>
      <c r="C20" s="4" t="s">
        <v>1403</v>
      </c>
      <c r="D20" s="7" t="s">
        <v>1404</v>
      </c>
      <c r="E20" s="7" t="s">
        <v>1412</v>
      </c>
      <c r="F20" s="4" t="s">
        <v>1413</v>
      </c>
    </row>
    <row r="21" spans="1:6" ht="24" customHeight="1">
      <c r="A21" s="4" t="s">
        <v>1401</v>
      </c>
      <c r="B21" s="4" t="s">
        <v>1414</v>
      </c>
      <c r="C21" s="4" t="s">
        <v>1403</v>
      </c>
      <c r="D21" s="7" t="s">
        <v>1415</v>
      </c>
      <c r="E21" s="7" t="s">
        <v>1416</v>
      </c>
      <c r="F21" s="4" t="s">
        <v>1417</v>
      </c>
    </row>
    <row r="22" spans="1:6" ht="24" customHeight="1">
      <c r="A22" s="4" t="s">
        <v>1401</v>
      </c>
      <c r="B22" s="4" t="s">
        <v>1418</v>
      </c>
      <c r="C22" s="4" t="s">
        <v>1403</v>
      </c>
      <c r="D22" s="7" t="s">
        <v>1412</v>
      </c>
      <c r="E22" s="7" t="s">
        <v>1419</v>
      </c>
      <c r="F22" s="4" t="s">
        <v>1420</v>
      </c>
    </row>
    <row r="23" spans="1:6" ht="24" customHeight="1">
      <c r="A23" s="4" t="s">
        <v>1401</v>
      </c>
      <c r="B23" s="4" t="s">
        <v>1421</v>
      </c>
      <c r="C23" s="4" t="s">
        <v>1403</v>
      </c>
      <c r="D23" s="7" t="s">
        <v>1405</v>
      </c>
      <c r="E23" s="7" t="s">
        <v>1422</v>
      </c>
      <c r="F23" s="4" t="s">
        <v>1423</v>
      </c>
    </row>
    <row r="24" spans="1:6" ht="24" customHeight="1">
      <c r="A24" s="4" t="s">
        <v>1401</v>
      </c>
      <c r="B24" s="4" t="s">
        <v>1424</v>
      </c>
      <c r="C24" s="4" t="s">
        <v>1403</v>
      </c>
      <c r="D24" s="7" t="s">
        <v>1425</v>
      </c>
      <c r="E24" s="7" t="s">
        <v>1426</v>
      </c>
      <c r="F24" s="4" t="s">
        <v>1427</v>
      </c>
    </row>
    <row r="25" spans="1:6" ht="24" customHeight="1">
      <c r="A25" s="4" t="s">
        <v>1401</v>
      </c>
      <c r="B25" s="4" t="s">
        <v>1428</v>
      </c>
      <c r="C25" s="4" t="s">
        <v>1403</v>
      </c>
      <c r="D25" s="7" t="s">
        <v>1412</v>
      </c>
      <c r="E25" s="7" t="s">
        <v>1419</v>
      </c>
      <c r="F25" s="4" t="s">
        <v>1429</v>
      </c>
    </row>
    <row r="26" spans="1:6" ht="18" customHeight="1">
      <c r="A26" s="9" t="s">
        <v>1430</v>
      </c>
      <c r="B26" s="9"/>
      <c r="C26" s="9"/>
      <c r="D26" s="9"/>
      <c r="E26" s="9"/>
      <c r="F26" s="9"/>
    </row>
    <row r="27" spans="1:6" ht="24" customHeight="1">
      <c r="A27" s="4" t="s">
        <v>1430</v>
      </c>
      <c r="B27" s="4" t="s">
        <v>1431</v>
      </c>
      <c r="C27" s="4" t="s">
        <v>1432</v>
      </c>
      <c r="D27" s="7" t="s">
        <v>1355</v>
      </c>
      <c r="E27" s="7" t="s">
        <v>1433</v>
      </c>
      <c r="F27" s="4" t="s">
        <v>1434</v>
      </c>
    </row>
    <row r="29" spans="1:6">
      <c r="A29" s="13" t="s">
        <v>1435</v>
      </c>
      <c r="B29" s="13"/>
      <c r="C29" s="13"/>
      <c r="D29" s="13"/>
      <c r="E29" s="13"/>
      <c r="F29" s="13"/>
    </row>
  </sheetData>
  <mergeCells count="8">
    <mergeCell ref="A1:F1"/>
    <mergeCell ref="A2:F2"/>
    <mergeCell ref="A3:F3"/>
    <mergeCell ref="A5:F5"/>
    <mergeCell ref="A12:F12"/>
    <mergeCell ref="A17:F17"/>
    <mergeCell ref="A26:F26"/>
    <mergeCell ref="A29:F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1436</v>
      </c>
      <c r="B3" s="5"/>
      <c r="C3" s="5"/>
      <c r="D3" s="5"/>
      <c r="E3" s="5"/>
      <c r="F3" s="5"/>
    </row>
    <row r="4" spans="1:6" ht="32" customHeight="1">
      <c r="A4" s="6" t="s">
        <v>1245</v>
      </c>
      <c r="B4" s="6" t="s">
        <v>228</v>
      </c>
      <c r="C4" s="6" t="s">
        <v>630</v>
      </c>
      <c r="D4" s="6" t="s">
        <v>1307</v>
      </c>
      <c r="E4" s="6" t="s">
        <v>1308</v>
      </c>
      <c r="F4" s="6" t="s">
        <v>335</v>
      </c>
    </row>
    <row r="5" spans="1:6" ht="18" customHeight="1">
      <c r="A5" s="9" t="s">
        <v>1437</v>
      </c>
      <c r="B5" s="9"/>
      <c r="C5" s="9"/>
      <c r="D5" s="9"/>
      <c r="E5" s="9"/>
      <c r="F5" s="9"/>
    </row>
    <row r="6" spans="1:6" ht="24" customHeight="1">
      <c r="A6" s="4" t="s">
        <v>1437</v>
      </c>
      <c r="B6" s="4" t="s">
        <v>1438</v>
      </c>
      <c r="C6" s="7" t="s">
        <v>1439</v>
      </c>
      <c r="D6" s="11">
        <v>110</v>
      </c>
      <c r="E6" s="11">
        <v>155</v>
      </c>
      <c r="F6" s="4"/>
    </row>
    <row r="7" spans="1:6" ht="24" customHeight="1">
      <c r="A7" s="4" t="s">
        <v>1437</v>
      </c>
      <c r="B7" s="4" t="s">
        <v>1440</v>
      </c>
      <c r="C7" s="7" t="s">
        <v>1439</v>
      </c>
      <c r="D7" s="11">
        <v>140</v>
      </c>
      <c r="E7" s="11">
        <v>200</v>
      </c>
      <c r="F7" s="4"/>
    </row>
    <row r="8" spans="1:6" ht="24" customHeight="1">
      <c r="A8" s="4" t="s">
        <v>1437</v>
      </c>
      <c r="B8" s="4" t="s">
        <v>1441</v>
      </c>
      <c r="C8" s="7" t="s">
        <v>1439</v>
      </c>
      <c r="D8" s="11">
        <v>155</v>
      </c>
      <c r="E8" s="11">
        <v>215</v>
      </c>
      <c r="F8" s="4"/>
    </row>
    <row r="9" spans="1:6" ht="24" customHeight="1">
      <c r="A9" s="4" t="s">
        <v>1437</v>
      </c>
      <c r="B9" s="4" t="s">
        <v>1442</v>
      </c>
      <c r="C9" s="7" t="s">
        <v>1439</v>
      </c>
      <c r="D9" s="11">
        <v>110</v>
      </c>
      <c r="E9" s="11">
        <v>155</v>
      </c>
      <c r="F9" s="4"/>
    </row>
    <row r="10" spans="1:6" ht="24" customHeight="1">
      <c r="A10" s="4" t="s">
        <v>1437</v>
      </c>
      <c r="B10" s="4" t="s">
        <v>1443</v>
      </c>
      <c r="C10" s="7" t="s">
        <v>1439</v>
      </c>
      <c r="D10" s="11">
        <v>320</v>
      </c>
      <c r="E10" s="11">
        <v>480</v>
      </c>
      <c r="F10" s="4" t="s">
        <v>1444</v>
      </c>
    </row>
    <row r="11" spans="1:6" ht="24" customHeight="1">
      <c r="A11" s="4" t="s">
        <v>1437</v>
      </c>
      <c r="B11" s="4" t="s">
        <v>1445</v>
      </c>
      <c r="C11" s="7" t="s">
        <v>1439</v>
      </c>
      <c r="D11" s="11">
        <v>850</v>
      </c>
      <c r="E11" s="11">
        <v>1300</v>
      </c>
      <c r="F11" s="4" t="s">
        <v>1446</v>
      </c>
    </row>
    <row r="12" spans="1:6" ht="24" customHeight="1">
      <c r="A12" s="4" t="s">
        <v>1437</v>
      </c>
      <c r="B12" s="4" t="s">
        <v>1447</v>
      </c>
      <c r="C12" s="7" t="s">
        <v>1439</v>
      </c>
      <c r="D12" s="11">
        <v>65</v>
      </c>
      <c r="E12" s="11">
        <v>95</v>
      </c>
      <c r="F12" s="4" t="s">
        <v>1448</v>
      </c>
    </row>
    <row r="13" spans="1:6" ht="24" customHeight="1">
      <c r="A13" s="4" t="s">
        <v>1437</v>
      </c>
      <c r="B13" s="4" t="s">
        <v>1449</v>
      </c>
      <c r="C13" s="7" t="s">
        <v>1439</v>
      </c>
      <c r="D13" s="11">
        <v>75</v>
      </c>
      <c r="E13" s="11">
        <v>110</v>
      </c>
      <c r="F13" s="4" t="s">
        <v>1448</v>
      </c>
    </row>
    <row r="14" spans="1:6" ht="24" customHeight="1">
      <c r="A14" s="4" t="s">
        <v>1437</v>
      </c>
      <c r="B14" s="4" t="s">
        <v>1450</v>
      </c>
      <c r="C14" s="7" t="s">
        <v>1439</v>
      </c>
      <c r="D14" s="11">
        <v>90</v>
      </c>
      <c r="E14" s="11">
        <v>135</v>
      </c>
      <c r="F14" s="4" t="s">
        <v>1451</v>
      </c>
    </row>
    <row r="15" spans="1:6" ht="24" customHeight="1">
      <c r="A15" s="4" t="s">
        <v>1437</v>
      </c>
      <c r="B15" s="4" t="s">
        <v>1452</v>
      </c>
      <c r="C15" s="7" t="s">
        <v>1439</v>
      </c>
      <c r="D15" s="11">
        <v>70</v>
      </c>
      <c r="E15" s="11">
        <v>100</v>
      </c>
      <c r="F15" s="4" t="s">
        <v>1451</v>
      </c>
    </row>
    <row r="16" spans="1:6" ht="18" customHeight="1">
      <c r="A16" s="9" t="s">
        <v>1453</v>
      </c>
      <c r="B16" s="9"/>
      <c r="C16" s="9"/>
      <c r="D16" s="9"/>
      <c r="E16" s="9"/>
      <c r="F16" s="9"/>
    </row>
    <row r="17" spans="1:6" ht="24" customHeight="1">
      <c r="A17" s="4" t="s">
        <v>1453</v>
      </c>
      <c r="B17" s="4" t="s">
        <v>1454</v>
      </c>
      <c r="C17" s="7" t="s">
        <v>1439</v>
      </c>
      <c r="D17" s="11">
        <v>93</v>
      </c>
      <c r="E17" s="11">
        <v>128</v>
      </c>
      <c r="F17" s="4" t="s">
        <v>1455</v>
      </c>
    </row>
    <row r="18" spans="1:6" ht="24" customHeight="1">
      <c r="A18" s="4" t="s">
        <v>1453</v>
      </c>
      <c r="B18" s="4" t="s">
        <v>1456</v>
      </c>
      <c r="C18" s="7" t="s">
        <v>1439</v>
      </c>
      <c r="D18" s="11">
        <v>82</v>
      </c>
      <c r="E18" s="11">
        <v>95</v>
      </c>
      <c r="F18" s="4" t="s">
        <v>1457</v>
      </c>
    </row>
    <row r="19" spans="1:6" ht="24" customHeight="1">
      <c r="A19" s="4" t="s">
        <v>1453</v>
      </c>
      <c r="B19" s="4" t="s">
        <v>1458</v>
      </c>
      <c r="C19" s="7" t="s">
        <v>1439</v>
      </c>
      <c r="D19" s="11">
        <v>116</v>
      </c>
      <c r="E19" s="11">
        <v>140</v>
      </c>
      <c r="F19" s="4" t="s">
        <v>1459</v>
      </c>
    </row>
    <row r="20" spans="1:6" ht="24" customHeight="1">
      <c r="A20" s="4" t="s">
        <v>1453</v>
      </c>
      <c r="B20" s="4" t="s">
        <v>1460</v>
      </c>
      <c r="C20" s="7" t="s">
        <v>1461</v>
      </c>
      <c r="D20" s="11">
        <v>14000</v>
      </c>
      <c r="E20" s="11">
        <v>20000</v>
      </c>
      <c r="F20" s="4" t="s">
        <v>1462</v>
      </c>
    </row>
    <row r="21" spans="1:6" ht="24" customHeight="1">
      <c r="A21" s="4" t="s">
        <v>1453</v>
      </c>
      <c r="B21" s="4" t="s">
        <v>1463</v>
      </c>
      <c r="C21" s="7" t="s">
        <v>1461</v>
      </c>
      <c r="D21" s="11">
        <v>16000</v>
      </c>
      <c r="E21" s="11">
        <v>24000</v>
      </c>
      <c r="F21" s="4" t="s">
        <v>1464</v>
      </c>
    </row>
    <row r="22" spans="1:6" ht="24" customHeight="1">
      <c r="A22" s="4" t="s">
        <v>1453</v>
      </c>
      <c r="B22" s="4" t="s">
        <v>1465</v>
      </c>
      <c r="C22" s="7" t="s">
        <v>1332</v>
      </c>
      <c r="D22" s="11">
        <v>7000</v>
      </c>
      <c r="E22" s="11">
        <v>10000</v>
      </c>
      <c r="F22" s="4" t="s">
        <v>1466</v>
      </c>
    </row>
    <row r="23" spans="1:6" ht="18" customHeight="1">
      <c r="A23" s="9" t="s">
        <v>1467</v>
      </c>
      <c r="B23" s="9"/>
      <c r="C23" s="9"/>
      <c r="D23" s="9"/>
      <c r="E23" s="9"/>
      <c r="F23" s="9"/>
    </row>
    <row r="24" spans="1:6" ht="24" customHeight="1">
      <c r="A24" s="4" t="s">
        <v>1467</v>
      </c>
      <c r="B24" s="4" t="s">
        <v>1468</v>
      </c>
      <c r="C24" s="7" t="s">
        <v>1469</v>
      </c>
      <c r="D24" s="7" t="s">
        <v>1470</v>
      </c>
      <c r="E24" s="7" t="s">
        <v>1470</v>
      </c>
      <c r="F24" s="4" t="s">
        <v>1471</v>
      </c>
    </row>
    <row r="25" spans="1:6" ht="24" customHeight="1">
      <c r="A25" s="4" t="s">
        <v>1467</v>
      </c>
      <c r="B25" s="4" t="s">
        <v>1472</v>
      </c>
      <c r="C25" s="7" t="s">
        <v>1469</v>
      </c>
      <c r="D25" s="7" t="s">
        <v>1473</v>
      </c>
      <c r="E25" s="7" t="s">
        <v>1473</v>
      </c>
      <c r="F25" s="4" t="s">
        <v>1474</v>
      </c>
    </row>
    <row r="26" spans="1:6" ht="24" customHeight="1">
      <c r="A26" s="4" t="s">
        <v>1467</v>
      </c>
      <c r="B26" s="4" t="s">
        <v>1475</v>
      </c>
      <c r="C26" s="7" t="s">
        <v>1469</v>
      </c>
      <c r="D26" s="7" t="s">
        <v>200</v>
      </c>
      <c r="E26" s="7" t="s">
        <v>198</v>
      </c>
      <c r="F26" s="4" t="s">
        <v>1476</v>
      </c>
    </row>
    <row r="27" spans="1:6" ht="24" customHeight="1">
      <c r="A27" s="4" t="s">
        <v>1467</v>
      </c>
      <c r="B27" s="4" t="s">
        <v>1477</v>
      </c>
      <c r="C27" s="7" t="s">
        <v>1469</v>
      </c>
      <c r="D27" s="7" t="s">
        <v>198</v>
      </c>
      <c r="E27" s="7" t="s">
        <v>194</v>
      </c>
      <c r="F27" s="4" t="s">
        <v>1476</v>
      </c>
    </row>
    <row r="28" spans="1:6" ht="24" customHeight="1">
      <c r="A28" s="4" t="s">
        <v>1467</v>
      </c>
      <c r="B28" s="4" t="s">
        <v>1478</v>
      </c>
      <c r="C28" s="7" t="s">
        <v>1332</v>
      </c>
      <c r="D28" s="11">
        <v>450</v>
      </c>
      <c r="E28" s="11">
        <v>850</v>
      </c>
      <c r="F28" s="4" t="s">
        <v>1479</v>
      </c>
    </row>
    <row r="29" spans="1:6" ht="24" customHeight="1">
      <c r="A29" s="4" t="s">
        <v>1467</v>
      </c>
      <c r="B29" s="4" t="s">
        <v>1480</v>
      </c>
      <c r="C29" s="7" t="s">
        <v>1481</v>
      </c>
      <c r="D29" s="11">
        <v>8</v>
      </c>
      <c r="E29" s="11">
        <v>18</v>
      </c>
      <c r="F29" s="4" t="s">
        <v>1482</v>
      </c>
    </row>
    <row r="30" spans="1:6" ht="24" customHeight="1">
      <c r="A30" s="4" t="s">
        <v>1467</v>
      </c>
      <c r="B30" s="4" t="s">
        <v>1483</v>
      </c>
      <c r="C30" s="7" t="s">
        <v>1484</v>
      </c>
      <c r="D30" s="11">
        <v>3.5</v>
      </c>
      <c r="E30" s="11">
        <v>8.5</v>
      </c>
      <c r="F30" s="4" t="s">
        <v>1485</v>
      </c>
    </row>
    <row r="31" spans="1:6" ht="18" customHeight="1">
      <c r="A31" s="9" t="s">
        <v>1486</v>
      </c>
      <c r="B31" s="9"/>
      <c r="C31" s="9"/>
      <c r="D31" s="9"/>
      <c r="E31" s="9"/>
      <c r="F31" s="9"/>
    </row>
    <row r="32" spans="1:6" ht="24" customHeight="1">
      <c r="A32" s="4" t="s">
        <v>1486</v>
      </c>
      <c r="B32" s="4" t="s">
        <v>1487</v>
      </c>
      <c r="C32" s="7" t="s">
        <v>1488</v>
      </c>
      <c r="D32" s="11">
        <v>15000</v>
      </c>
      <c r="E32" s="11">
        <v>65000</v>
      </c>
      <c r="F32" s="4" t="s">
        <v>1489</v>
      </c>
    </row>
    <row r="33" spans="1:6" ht="24" customHeight="1">
      <c r="A33" s="4" t="s">
        <v>1486</v>
      </c>
      <c r="B33" s="4" t="s">
        <v>1490</v>
      </c>
      <c r="C33" s="7" t="s">
        <v>1461</v>
      </c>
      <c r="D33" s="11">
        <v>12000</v>
      </c>
      <c r="E33" s="11">
        <v>35000</v>
      </c>
      <c r="F33" s="4" t="s">
        <v>1491</v>
      </c>
    </row>
    <row r="34" spans="1:6" ht="24" customHeight="1">
      <c r="A34" s="4" t="s">
        <v>1486</v>
      </c>
      <c r="B34" s="4" t="s">
        <v>1492</v>
      </c>
      <c r="C34" s="7" t="s">
        <v>1493</v>
      </c>
      <c r="D34" s="7" t="s">
        <v>202</v>
      </c>
      <c r="E34" s="7" t="s">
        <v>216</v>
      </c>
      <c r="F34" s="4" t="s">
        <v>1494</v>
      </c>
    </row>
  </sheetData>
  <mergeCells count="7">
    <mergeCell ref="A1:F1"/>
    <mergeCell ref="A2:F2"/>
    <mergeCell ref="A3:F3"/>
    <mergeCell ref="A5:F5"/>
    <mergeCell ref="A16:F16"/>
    <mergeCell ref="A23:F23"/>
    <mergeCell ref="A31:F3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50.7109375" customWidth="1"/>
    <col min="3" max="4" width="14.7109375" customWidth="1"/>
    <col min="5" max="5" width="50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/>
      <c r="C2" s="2"/>
      <c r="D2" s="2"/>
      <c r="E2" s="2"/>
    </row>
    <row r="3" spans="1:5" ht="22" customHeight="1">
      <c r="A3" s="5" t="s">
        <v>1495</v>
      </c>
      <c r="B3" s="5"/>
      <c r="C3" s="5"/>
      <c r="D3" s="5"/>
      <c r="E3" s="5"/>
    </row>
    <row r="4" spans="1:5" ht="32" customHeight="1">
      <c r="A4" s="6" t="s">
        <v>1245</v>
      </c>
      <c r="B4" s="6" t="s">
        <v>1496</v>
      </c>
      <c r="C4" s="6" t="s">
        <v>229</v>
      </c>
      <c r="D4" s="6" t="s">
        <v>230</v>
      </c>
      <c r="E4" s="6" t="s">
        <v>1497</v>
      </c>
    </row>
    <row r="5" spans="1:5" ht="18" customHeight="1">
      <c r="A5" s="9" t="s">
        <v>1498</v>
      </c>
      <c r="B5" s="9"/>
      <c r="C5" s="9"/>
      <c r="D5" s="9"/>
      <c r="E5" s="9"/>
    </row>
    <row r="6" spans="1:5" ht="22" customHeight="1">
      <c r="A6" s="4" t="s">
        <v>1498</v>
      </c>
      <c r="B6" s="4" t="s">
        <v>1499</v>
      </c>
      <c r="C6" s="7" t="s">
        <v>202</v>
      </c>
      <c r="D6" s="7" t="s">
        <v>200</v>
      </c>
      <c r="E6" s="4" t="s">
        <v>1500</v>
      </c>
    </row>
    <row r="7" spans="1:5" ht="22" customHeight="1">
      <c r="A7" s="4" t="s">
        <v>1498</v>
      </c>
      <c r="B7" s="4" t="s">
        <v>1501</v>
      </c>
      <c r="C7" s="7" t="s">
        <v>1502</v>
      </c>
      <c r="D7" s="7" t="s">
        <v>1503</v>
      </c>
      <c r="E7" s="4" t="s">
        <v>1504</v>
      </c>
    </row>
    <row r="8" spans="1:5" ht="22" customHeight="1">
      <c r="A8" s="4" t="s">
        <v>1498</v>
      </c>
      <c r="B8" s="4" t="s">
        <v>1505</v>
      </c>
      <c r="C8" s="7" t="s">
        <v>1506</v>
      </c>
      <c r="D8" s="7" t="s">
        <v>1507</v>
      </c>
      <c r="E8" s="4" t="s">
        <v>1508</v>
      </c>
    </row>
    <row r="9" spans="1:5" ht="22" customHeight="1">
      <c r="A9" s="4" t="s">
        <v>1498</v>
      </c>
      <c r="B9" s="4" t="s">
        <v>1509</v>
      </c>
      <c r="C9" s="7" t="s">
        <v>216</v>
      </c>
      <c r="D9" s="7" t="s">
        <v>217</v>
      </c>
      <c r="E9" s="4" t="s">
        <v>1510</v>
      </c>
    </row>
    <row r="10" spans="1:5" ht="22" customHeight="1">
      <c r="A10" s="4" t="s">
        <v>1498</v>
      </c>
      <c r="B10" s="4" t="s">
        <v>1511</v>
      </c>
      <c r="C10" s="7" t="s">
        <v>1366</v>
      </c>
      <c r="D10" s="7" t="s">
        <v>1512</v>
      </c>
      <c r="E10" s="4" t="s">
        <v>1513</v>
      </c>
    </row>
    <row r="11" spans="1:5" ht="22" customHeight="1">
      <c r="A11" s="4" t="s">
        <v>1498</v>
      </c>
      <c r="B11" s="4" t="s">
        <v>1514</v>
      </c>
      <c r="C11" s="7" t="s">
        <v>216</v>
      </c>
      <c r="D11" s="7" t="s">
        <v>217</v>
      </c>
      <c r="E11" s="4" t="s">
        <v>1515</v>
      </c>
    </row>
    <row r="12" spans="1:5" ht="22" customHeight="1">
      <c r="A12" s="4" t="s">
        <v>1498</v>
      </c>
      <c r="B12" s="4" t="s">
        <v>1516</v>
      </c>
      <c r="C12" s="7" t="s">
        <v>1517</v>
      </c>
      <c r="D12" s="7" t="s">
        <v>198</v>
      </c>
      <c r="E12" s="4" t="s">
        <v>1518</v>
      </c>
    </row>
    <row r="13" spans="1:5" ht="18" customHeight="1">
      <c r="A13" s="9" t="s">
        <v>1519</v>
      </c>
      <c r="B13" s="9"/>
      <c r="C13" s="9"/>
      <c r="D13" s="9"/>
      <c r="E13" s="9"/>
    </row>
    <row r="14" spans="1:5" ht="22" customHeight="1">
      <c r="A14" s="4" t="s">
        <v>1519</v>
      </c>
      <c r="B14" s="4" t="s">
        <v>1520</v>
      </c>
      <c r="C14" s="7" t="s">
        <v>194</v>
      </c>
      <c r="D14" s="7" t="s">
        <v>195</v>
      </c>
      <c r="E14" s="4" t="s">
        <v>1521</v>
      </c>
    </row>
    <row r="15" spans="1:5" ht="22" customHeight="1">
      <c r="A15" s="4" t="s">
        <v>1519</v>
      </c>
      <c r="B15" s="4" t="s">
        <v>1522</v>
      </c>
      <c r="C15" s="7" t="s">
        <v>198</v>
      </c>
      <c r="D15" s="7" t="s">
        <v>194</v>
      </c>
      <c r="E15" s="4" t="s">
        <v>1523</v>
      </c>
    </row>
    <row r="16" spans="1:5" ht="22" customHeight="1">
      <c r="A16" s="4" t="s">
        <v>1519</v>
      </c>
      <c r="B16" s="4" t="s">
        <v>1524</v>
      </c>
      <c r="C16" s="7" t="s">
        <v>200</v>
      </c>
      <c r="D16" s="7" t="s">
        <v>198</v>
      </c>
      <c r="E16" s="4" t="s">
        <v>1525</v>
      </c>
    </row>
    <row r="17" spans="1:5" ht="22" customHeight="1">
      <c r="A17" s="4" t="s">
        <v>1519</v>
      </c>
      <c r="B17" s="4" t="s">
        <v>1526</v>
      </c>
      <c r="C17" s="7" t="s">
        <v>202</v>
      </c>
      <c r="D17" s="7" t="s">
        <v>200</v>
      </c>
      <c r="E17" s="4" t="s">
        <v>203</v>
      </c>
    </row>
    <row r="18" spans="1:5" ht="22" customHeight="1">
      <c r="A18" s="4" t="s">
        <v>1519</v>
      </c>
      <c r="B18" s="4" t="s">
        <v>1527</v>
      </c>
      <c r="C18" s="7" t="s">
        <v>206</v>
      </c>
      <c r="D18" s="7" t="s">
        <v>206</v>
      </c>
      <c r="E18" s="4" t="s">
        <v>207</v>
      </c>
    </row>
    <row r="19" spans="1:5" ht="18" customHeight="1">
      <c r="A19" s="9" t="s">
        <v>1528</v>
      </c>
      <c r="B19" s="9"/>
      <c r="C19" s="9"/>
      <c r="D19" s="9"/>
      <c r="E19" s="9"/>
    </row>
    <row r="20" spans="1:5" ht="22" customHeight="1">
      <c r="A20" s="4" t="s">
        <v>1528</v>
      </c>
      <c r="B20" s="4" t="s">
        <v>1529</v>
      </c>
      <c r="C20" s="7" t="s">
        <v>200</v>
      </c>
      <c r="D20" s="7" t="s">
        <v>198</v>
      </c>
      <c r="E20" s="4" t="s">
        <v>214</v>
      </c>
    </row>
    <row r="21" spans="1:5" ht="22" customHeight="1">
      <c r="A21" s="4" t="s">
        <v>1528</v>
      </c>
      <c r="B21" s="4" t="s">
        <v>1530</v>
      </c>
      <c r="C21" s="7" t="s">
        <v>216</v>
      </c>
      <c r="D21" s="7" t="s">
        <v>217</v>
      </c>
      <c r="E21" s="4" t="s">
        <v>1531</v>
      </c>
    </row>
    <row r="22" spans="1:5" ht="22" customHeight="1">
      <c r="A22" s="4" t="s">
        <v>1528</v>
      </c>
      <c r="B22" s="4" t="s">
        <v>1532</v>
      </c>
      <c r="C22" s="7" t="s">
        <v>220</v>
      </c>
      <c r="D22" s="7" t="s">
        <v>221</v>
      </c>
      <c r="E22" s="4" t="s">
        <v>1533</v>
      </c>
    </row>
    <row r="23" spans="1:5" ht="22" customHeight="1">
      <c r="A23" s="4" t="s">
        <v>1528</v>
      </c>
      <c r="B23" s="4" t="s">
        <v>1534</v>
      </c>
      <c r="C23" s="7" t="s">
        <v>200</v>
      </c>
      <c r="D23" s="7" t="s">
        <v>198</v>
      </c>
      <c r="E23" s="4" t="s">
        <v>224</v>
      </c>
    </row>
    <row r="24" spans="1:5" ht="22" customHeight="1">
      <c r="A24" s="4" t="s">
        <v>1528</v>
      </c>
      <c r="B24" s="4" t="s">
        <v>1535</v>
      </c>
      <c r="C24" s="7" t="s">
        <v>198</v>
      </c>
      <c r="D24" s="7" t="s">
        <v>194</v>
      </c>
      <c r="E24" s="4" t="s">
        <v>1536</v>
      </c>
    </row>
    <row r="25" spans="1:5" ht="18" customHeight="1">
      <c r="A25" s="9" t="s">
        <v>1537</v>
      </c>
      <c r="B25" s="9"/>
      <c r="C25" s="9"/>
      <c r="D25" s="9"/>
      <c r="E25" s="9"/>
    </row>
    <row r="26" spans="1:5" ht="22" customHeight="1">
      <c r="A26" s="4" t="s">
        <v>1537</v>
      </c>
      <c r="B26" s="4" t="s">
        <v>1538</v>
      </c>
      <c r="C26" s="7" t="s">
        <v>1539</v>
      </c>
      <c r="D26" s="7" t="s">
        <v>1540</v>
      </c>
      <c r="E26" s="4" t="s">
        <v>1541</v>
      </c>
    </row>
    <row r="27" spans="1:5" ht="22" customHeight="1">
      <c r="A27" s="4" t="s">
        <v>1537</v>
      </c>
      <c r="B27" s="4" t="s">
        <v>1542</v>
      </c>
      <c r="C27" s="7" t="s">
        <v>1543</v>
      </c>
      <c r="D27" s="7" t="s">
        <v>1544</v>
      </c>
      <c r="E27" s="4" t="s">
        <v>1545</v>
      </c>
    </row>
    <row r="28" spans="1:5" ht="22" customHeight="1">
      <c r="A28" s="4" t="s">
        <v>1537</v>
      </c>
      <c r="B28" s="4" t="s">
        <v>1546</v>
      </c>
      <c r="C28" s="7" t="s">
        <v>1547</v>
      </c>
      <c r="D28" s="7" t="s">
        <v>1548</v>
      </c>
      <c r="E28" s="4" t="s">
        <v>1549</v>
      </c>
    </row>
    <row r="29" spans="1:5" ht="22" customHeight="1">
      <c r="A29" s="4" t="s">
        <v>1537</v>
      </c>
      <c r="B29" s="4" t="s">
        <v>1550</v>
      </c>
      <c r="C29" s="7" t="s">
        <v>1551</v>
      </c>
      <c r="D29" s="7" t="s">
        <v>1552</v>
      </c>
      <c r="E29" s="4" t="s">
        <v>1553</v>
      </c>
    </row>
    <row r="30" spans="1:5" ht="22" customHeight="1">
      <c r="A30" s="4" t="s">
        <v>1537</v>
      </c>
      <c r="B30" s="4" t="s">
        <v>1554</v>
      </c>
      <c r="C30" s="7" t="s">
        <v>1555</v>
      </c>
      <c r="D30" s="7" t="s">
        <v>1551</v>
      </c>
      <c r="E30" s="4" t="s">
        <v>1556</v>
      </c>
    </row>
    <row r="31" spans="1:5" ht="22" customHeight="1">
      <c r="A31" s="4" t="s">
        <v>1537</v>
      </c>
      <c r="B31" s="4" t="s">
        <v>1557</v>
      </c>
      <c r="C31" s="7" t="s">
        <v>1539</v>
      </c>
      <c r="D31" s="7" t="s">
        <v>1558</v>
      </c>
      <c r="E31" s="4" t="s">
        <v>1559</v>
      </c>
    </row>
    <row r="32" spans="1:5" ht="22" customHeight="1">
      <c r="A32" s="4" t="s">
        <v>1537</v>
      </c>
      <c r="B32" s="4" t="s">
        <v>1560</v>
      </c>
      <c r="C32" s="7" t="s">
        <v>1540</v>
      </c>
      <c r="D32" s="7" t="s">
        <v>1561</v>
      </c>
      <c r="E32" s="4" t="s">
        <v>1562</v>
      </c>
    </row>
    <row r="33" spans="1:5" ht="22" customHeight="1">
      <c r="A33" s="4" t="s">
        <v>1537</v>
      </c>
      <c r="B33" s="4" t="s">
        <v>1563</v>
      </c>
      <c r="C33" s="7" t="s">
        <v>1544</v>
      </c>
      <c r="D33" s="7" t="s">
        <v>1564</v>
      </c>
      <c r="E33" s="4" t="s">
        <v>1565</v>
      </c>
    </row>
    <row r="34" spans="1:5" ht="22" customHeight="1">
      <c r="A34" s="4" t="s">
        <v>1537</v>
      </c>
      <c r="B34" s="4" t="s">
        <v>1566</v>
      </c>
      <c r="C34" s="7" t="s">
        <v>1540</v>
      </c>
      <c r="D34" s="7" t="s">
        <v>1567</v>
      </c>
      <c r="E34" s="4" t="s">
        <v>1568</v>
      </c>
    </row>
    <row r="35" spans="1:5" ht="22" customHeight="1">
      <c r="A35" s="4" t="s">
        <v>1537</v>
      </c>
      <c r="B35" s="4" t="s">
        <v>1569</v>
      </c>
      <c r="C35" s="7" t="s">
        <v>1567</v>
      </c>
      <c r="D35" s="7" t="s">
        <v>1570</v>
      </c>
      <c r="E35" s="4" t="s">
        <v>1571</v>
      </c>
    </row>
    <row r="36" spans="1:5" ht="22" customHeight="1">
      <c r="A36" s="4" t="s">
        <v>1537</v>
      </c>
      <c r="B36" s="4" t="s">
        <v>1572</v>
      </c>
      <c r="C36" s="7" t="s">
        <v>198</v>
      </c>
      <c r="D36" s="7" t="s">
        <v>256</v>
      </c>
      <c r="E36" s="4" t="s">
        <v>1573</v>
      </c>
    </row>
    <row r="37" spans="1:5" ht="18" customHeight="1">
      <c r="A37" s="9" t="s">
        <v>1574</v>
      </c>
      <c r="B37" s="9"/>
      <c r="C37" s="9"/>
      <c r="D37" s="9"/>
      <c r="E37" s="9"/>
    </row>
    <row r="38" spans="1:5" ht="22" customHeight="1">
      <c r="A38" s="4" t="s">
        <v>1574</v>
      </c>
      <c r="B38" s="4" t="s">
        <v>1575</v>
      </c>
      <c r="C38" s="7" t="s">
        <v>233</v>
      </c>
      <c r="D38" s="7" t="s">
        <v>234</v>
      </c>
      <c r="E38" s="4" t="s">
        <v>235</v>
      </c>
    </row>
    <row r="39" spans="1:5" ht="22" customHeight="1">
      <c r="A39" s="4" t="s">
        <v>1574</v>
      </c>
      <c r="B39" s="4" t="s">
        <v>1576</v>
      </c>
      <c r="C39" s="7" t="s">
        <v>237</v>
      </c>
      <c r="D39" s="7" t="s">
        <v>238</v>
      </c>
      <c r="E39" s="4" t="s">
        <v>239</v>
      </c>
    </row>
    <row r="40" spans="1:5" ht="22" customHeight="1">
      <c r="A40" s="4" t="s">
        <v>1574</v>
      </c>
      <c r="B40" s="4" t="s">
        <v>1577</v>
      </c>
      <c r="C40" s="7" t="s">
        <v>241</v>
      </c>
      <c r="D40" s="7" t="s">
        <v>242</v>
      </c>
      <c r="E40" s="4" t="s">
        <v>243</v>
      </c>
    </row>
    <row r="41" spans="1:5" ht="22" customHeight="1">
      <c r="A41" s="4" t="s">
        <v>1574</v>
      </c>
      <c r="B41" s="4" t="s">
        <v>1578</v>
      </c>
      <c r="C41" s="7" t="s">
        <v>245</v>
      </c>
      <c r="D41" s="7" t="s">
        <v>246</v>
      </c>
      <c r="E41" s="4" t="s">
        <v>1579</v>
      </c>
    </row>
    <row r="42" spans="1:5" ht="22" customHeight="1">
      <c r="A42" s="4" t="s">
        <v>1574</v>
      </c>
      <c r="B42" s="4" t="s">
        <v>1580</v>
      </c>
      <c r="C42" s="7" t="s">
        <v>249</v>
      </c>
      <c r="D42" s="7" t="s">
        <v>250</v>
      </c>
      <c r="E42" s="4" t="s">
        <v>1581</v>
      </c>
    </row>
    <row r="43" spans="1:5" ht="22" customHeight="1">
      <c r="A43" s="4" t="s">
        <v>1574</v>
      </c>
      <c r="B43" s="4" t="s">
        <v>1582</v>
      </c>
      <c r="C43" s="7" t="s">
        <v>252</v>
      </c>
      <c r="D43" s="7" t="s">
        <v>253</v>
      </c>
      <c r="E43" s="4" t="s">
        <v>254</v>
      </c>
    </row>
    <row r="44" spans="1:5" ht="22" customHeight="1">
      <c r="A44" s="4" t="s">
        <v>1574</v>
      </c>
      <c r="B44" s="4" t="s">
        <v>1583</v>
      </c>
      <c r="C44" s="7" t="s">
        <v>256</v>
      </c>
      <c r="D44" s="7" t="s">
        <v>256</v>
      </c>
      <c r="E44" s="4" t="s">
        <v>1584</v>
      </c>
    </row>
    <row r="45" spans="1:5" ht="22" customHeight="1">
      <c r="A45" s="4" t="s">
        <v>1574</v>
      </c>
      <c r="B45" s="4" t="s">
        <v>1585</v>
      </c>
      <c r="C45" s="7" t="s">
        <v>256</v>
      </c>
      <c r="D45" s="7" t="s">
        <v>256</v>
      </c>
      <c r="E45" s="4" t="s">
        <v>1586</v>
      </c>
    </row>
    <row r="46" spans="1:5" ht="18" customHeight="1">
      <c r="A46" s="9" t="s">
        <v>1587</v>
      </c>
      <c r="B46" s="9"/>
      <c r="C46" s="9"/>
      <c r="D46" s="9"/>
      <c r="E46" s="9"/>
    </row>
    <row r="47" spans="1:5" ht="22" customHeight="1">
      <c r="A47" s="4" t="s">
        <v>1587</v>
      </c>
      <c r="B47" s="4" t="s">
        <v>1588</v>
      </c>
      <c r="C47" s="7" t="s">
        <v>162</v>
      </c>
      <c r="D47" s="7" t="s">
        <v>163</v>
      </c>
      <c r="E47" s="4" t="s">
        <v>1589</v>
      </c>
    </row>
    <row r="48" spans="1:5" ht="22" customHeight="1">
      <c r="A48" s="4" t="s">
        <v>1587</v>
      </c>
      <c r="B48" s="4" t="s">
        <v>1590</v>
      </c>
      <c r="C48" s="7" t="s">
        <v>169</v>
      </c>
      <c r="D48" s="7" t="s">
        <v>170</v>
      </c>
      <c r="E48" s="4" t="s">
        <v>1591</v>
      </c>
    </row>
    <row r="49" spans="1:5" ht="22" customHeight="1">
      <c r="A49" s="4" t="s">
        <v>1587</v>
      </c>
      <c r="B49" s="4" t="s">
        <v>1592</v>
      </c>
      <c r="C49" s="7" t="s">
        <v>176</v>
      </c>
      <c r="D49" s="7" t="s">
        <v>177</v>
      </c>
      <c r="E49" s="4" t="s">
        <v>1593</v>
      </c>
    </row>
    <row r="50" spans="1:5" ht="22" customHeight="1">
      <c r="A50" s="4" t="s">
        <v>1587</v>
      </c>
      <c r="B50" s="4" t="s">
        <v>1594</v>
      </c>
      <c r="C50" s="7" t="s">
        <v>183</v>
      </c>
      <c r="D50" s="7" t="s">
        <v>184</v>
      </c>
      <c r="E50" s="4" t="s">
        <v>203</v>
      </c>
    </row>
  </sheetData>
  <mergeCells count="9">
    <mergeCell ref="A1:E1"/>
    <mergeCell ref="A2:E2"/>
    <mergeCell ref="A3:E3"/>
    <mergeCell ref="A5:E5"/>
    <mergeCell ref="A13:E13"/>
    <mergeCell ref="A19:E19"/>
    <mergeCell ref="A25:E25"/>
    <mergeCell ref="A37:E37"/>
    <mergeCell ref="A46:E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32.7109375" customWidth="1"/>
    <col min="4" max="5" width="12.7109375" customWidth="1"/>
    <col min="6" max="6" width="15.7109375" customWidth="1"/>
    <col min="7" max="7" width="3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1595</v>
      </c>
      <c r="B3" s="5"/>
      <c r="C3" s="5"/>
      <c r="D3" s="5"/>
      <c r="E3" s="5"/>
      <c r="F3" s="5"/>
      <c r="G3" s="5"/>
    </row>
    <row r="4" spans="1:7" ht="32" customHeight="1">
      <c r="A4" s="6" t="s">
        <v>1596</v>
      </c>
      <c r="B4" s="6" t="s">
        <v>1597</v>
      </c>
      <c r="C4" s="6" t="s">
        <v>1598</v>
      </c>
      <c r="D4" s="6" t="s">
        <v>1599</v>
      </c>
      <c r="E4" s="6" t="s">
        <v>1600</v>
      </c>
      <c r="F4" s="6" t="s">
        <v>1601</v>
      </c>
      <c r="G4" s="6" t="s">
        <v>335</v>
      </c>
    </row>
    <row r="5" spans="1:7" ht="20" customHeight="1">
      <c r="A5" s="5" t="s">
        <v>1602</v>
      </c>
      <c r="B5" s="5"/>
      <c r="C5" s="5"/>
      <c r="D5" s="5"/>
      <c r="E5" s="5"/>
      <c r="F5" s="5"/>
      <c r="G5" s="5"/>
    </row>
    <row r="6" spans="1:7" ht="26" customHeight="1">
      <c r="A6" s="4" t="s">
        <v>1602</v>
      </c>
      <c r="B6" s="4" t="s">
        <v>1603</v>
      </c>
      <c r="C6" s="4" t="s">
        <v>1604</v>
      </c>
      <c r="D6" s="7" t="s">
        <v>852</v>
      </c>
      <c r="E6" s="7" t="s">
        <v>852</v>
      </c>
      <c r="F6" s="7" t="s">
        <v>1605</v>
      </c>
      <c r="G6" s="4" t="s">
        <v>1606</v>
      </c>
    </row>
    <row r="7" spans="1:7" ht="26" customHeight="1">
      <c r="A7" s="4" t="s">
        <v>1602</v>
      </c>
      <c r="B7" s="4" t="s">
        <v>1607</v>
      </c>
      <c r="C7" s="4" t="s">
        <v>1604</v>
      </c>
      <c r="D7" s="7" t="s">
        <v>852</v>
      </c>
      <c r="E7" s="7" t="s">
        <v>852</v>
      </c>
      <c r="F7" s="7" t="s">
        <v>1608</v>
      </c>
      <c r="G7" s="4"/>
    </row>
    <row r="8" spans="1:7" ht="26" customHeight="1">
      <c r="A8" s="4" t="s">
        <v>1602</v>
      </c>
      <c r="B8" s="4" t="s">
        <v>1609</v>
      </c>
      <c r="C8" s="4" t="s">
        <v>1604</v>
      </c>
      <c r="D8" s="7" t="s">
        <v>852</v>
      </c>
      <c r="E8" s="7" t="s">
        <v>852</v>
      </c>
      <c r="F8" s="7" t="s">
        <v>1610</v>
      </c>
      <c r="G8" s="4"/>
    </row>
    <row r="9" spans="1:7" ht="26" customHeight="1">
      <c r="A9" s="4" t="s">
        <v>1602</v>
      </c>
      <c r="B9" s="4" t="s">
        <v>1611</v>
      </c>
      <c r="C9" s="4" t="s">
        <v>1604</v>
      </c>
      <c r="D9" s="7" t="s">
        <v>852</v>
      </c>
      <c r="E9" s="7" t="s">
        <v>852</v>
      </c>
      <c r="F9" s="7" t="s">
        <v>1612</v>
      </c>
      <c r="G9" s="4" t="s">
        <v>1613</v>
      </c>
    </row>
    <row r="10" spans="1:7" ht="26" customHeight="1">
      <c r="A10" s="4" t="s">
        <v>1602</v>
      </c>
      <c r="B10" s="4" t="s">
        <v>1614</v>
      </c>
      <c r="C10" s="4" t="s">
        <v>1604</v>
      </c>
      <c r="D10" s="7" t="s">
        <v>852</v>
      </c>
      <c r="E10" s="7" t="s">
        <v>852</v>
      </c>
      <c r="F10" s="7" t="s">
        <v>1608</v>
      </c>
      <c r="G10" s="4" t="s">
        <v>1615</v>
      </c>
    </row>
    <row r="11" spans="1:7" ht="26" customHeight="1">
      <c r="A11" s="4" t="s">
        <v>1602</v>
      </c>
      <c r="B11" s="4" t="s">
        <v>1616</v>
      </c>
      <c r="C11" s="4" t="s">
        <v>1604</v>
      </c>
      <c r="D11" s="7" t="s">
        <v>852</v>
      </c>
      <c r="E11" s="7" t="s">
        <v>852</v>
      </c>
      <c r="F11" s="7" t="s">
        <v>1617</v>
      </c>
      <c r="G11" s="4"/>
    </row>
    <row r="12" spans="1:7" ht="26" customHeight="1">
      <c r="A12" s="4" t="s">
        <v>1602</v>
      </c>
      <c r="B12" s="4" t="s">
        <v>1618</v>
      </c>
      <c r="C12" s="4" t="s">
        <v>1604</v>
      </c>
      <c r="D12" s="7" t="s">
        <v>852</v>
      </c>
      <c r="E12" s="7" t="s">
        <v>852</v>
      </c>
      <c r="F12" s="7" t="s">
        <v>1619</v>
      </c>
      <c r="G12" s="4" t="s">
        <v>1620</v>
      </c>
    </row>
    <row r="13" spans="1:7" ht="26" customHeight="1">
      <c r="A13" s="4" t="s">
        <v>1602</v>
      </c>
      <c r="B13" s="4" t="s">
        <v>1621</v>
      </c>
      <c r="C13" s="4" t="s">
        <v>1604</v>
      </c>
      <c r="D13" s="7" t="s">
        <v>852</v>
      </c>
      <c r="E13" s="7" t="s">
        <v>852</v>
      </c>
      <c r="F13" s="7" t="s">
        <v>1619</v>
      </c>
      <c r="G13" s="4" t="s">
        <v>1622</v>
      </c>
    </row>
    <row r="14" spans="1:7" ht="26" customHeight="1">
      <c r="A14" s="4" t="s">
        <v>1602</v>
      </c>
      <c r="B14" s="4" t="s">
        <v>1623</v>
      </c>
      <c r="C14" s="4" t="s">
        <v>1604</v>
      </c>
      <c r="D14" s="7" t="s">
        <v>852</v>
      </c>
      <c r="E14" s="7" t="s">
        <v>852</v>
      </c>
      <c r="F14" s="7" t="s">
        <v>1624</v>
      </c>
      <c r="G14" s="4" t="s">
        <v>1625</v>
      </c>
    </row>
    <row r="15" spans="1:7" ht="26" customHeight="1">
      <c r="A15" s="4" t="s">
        <v>1602</v>
      </c>
      <c r="B15" s="4" t="s">
        <v>1626</v>
      </c>
      <c r="C15" s="4" t="s">
        <v>1604</v>
      </c>
      <c r="D15" s="7" t="s">
        <v>852</v>
      </c>
      <c r="E15" s="7" t="s">
        <v>852</v>
      </c>
      <c r="F15" s="7" t="s">
        <v>1624</v>
      </c>
      <c r="G15" s="4"/>
    </row>
    <row r="16" spans="1:7" ht="26" customHeight="1">
      <c r="A16" s="4" t="s">
        <v>1602</v>
      </c>
      <c r="B16" s="4" t="s">
        <v>1627</v>
      </c>
      <c r="C16" s="4" t="s">
        <v>1604</v>
      </c>
      <c r="D16" s="7" t="s">
        <v>852</v>
      </c>
      <c r="E16" s="7" t="s">
        <v>852</v>
      </c>
      <c r="F16" s="7" t="s">
        <v>1628</v>
      </c>
      <c r="G16" s="4" t="s">
        <v>1629</v>
      </c>
    </row>
    <row r="17" spans="1:7" ht="26" customHeight="1">
      <c r="A17" s="4" t="s">
        <v>1602</v>
      </c>
      <c r="B17" s="4" t="s">
        <v>1630</v>
      </c>
      <c r="C17" s="4" t="s">
        <v>1604</v>
      </c>
      <c r="D17" s="7" t="s">
        <v>852</v>
      </c>
      <c r="E17" s="7" t="s">
        <v>852</v>
      </c>
      <c r="F17" s="7" t="s">
        <v>1631</v>
      </c>
      <c r="G17" s="4"/>
    </row>
    <row r="18" spans="1:7" ht="26" customHeight="1">
      <c r="A18" s="4" t="s">
        <v>1602</v>
      </c>
      <c r="B18" s="4" t="s">
        <v>1632</v>
      </c>
      <c r="C18" s="4" t="s">
        <v>1604</v>
      </c>
      <c r="D18" s="7" t="s">
        <v>852</v>
      </c>
      <c r="E18" s="7" t="s">
        <v>852</v>
      </c>
      <c r="F18" s="7" t="s">
        <v>1624</v>
      </c>
      <c r="G18" s="4" t="s">
        <v>1633</v>
      </c>
    </row>
    <row r="19" spans="1:7" ht="26" customHeight="1">
      <c r="A19" s="4" t="s">
        <v>1602</v>
      </c>
      <c r="B19" s="3" t="s">
        <v>1634</v>
      </c>
      <c r="C19" s="4" t="s">
        <v>1635</v>
      </c>
      <c r="D19" s="7" t="s">
        <v>852</v>
      </c>
      <c r="E19" s="7" t="s">
        <v>852</v>
      </c>
      <c r="F19" s="7" t="s">
        <v>1473</v>
      </c>
      <c r="G19" s="4" t="s">
        <v>1636</v>
      </c>
    </row>
    <row r="20" spans="1:7" ht="20" customHeight="1">
      <c r="A20" s="5" t="s">
        <v>1637</v>
      </c>
      <c r="B20" s="5"/>
      <c r="C20" s="5"/>
      <c r="D20" s="5"/>
      <c r="E20" s="5"/>
      <c r="F20" s="5"/>
      <c r="G20" s="5"/>
    </row>
    <row r="21" spans="1:7" ht="26" customHeight="1">
      <c r="A21" s="4" t="s">
        <v>1637</v>
      </c>
      <c r="B21" s="4" t="s">
        <v>1638</v>
      </c>
      <c r="C21" s="4" t="s">
        <v>1639</v>
      </c>
      <c r="D21" s="7" t="s">
        <v>1640</v>
      </c>
      <c r="E21" s="7" t="s">
        <v>220</v>
      </c>
      <c r="F21" s="7" t="s">
        <v>1631</v>
      </c>
      <c r="G21" s="4" t="s">
        <v>1641</v>
      </c>
    </row>
    <row r="22" spans="1:7" ht="26" customHeight="1">
      <c r="A22" s="4" t="s">
        <v>1637</v>
      </c>
      <c r="B22" s="4" t="s">
        <v>1642</v>
      </c>
      <c r="C22" s="4" t="s">
        <v>1643</v>
      </c>
      <c r="D22" s="7" t="s">
        <v>1355</v>
      </c>
      <c r="E22" s="7" t="s">
        <v>1365</v>
      </c>
      <c r="F22" s="7" t="s">
        <v>1644</v>
      </c>
      <c r="G22" s="4"/>
    </row>
    <row r="23" spans="1:7" ht="26" customHeight="1">
      <c r="A23" s="4" t="s">
        <v>1637</v>
      </c>
      <c r="B23" s="4" t="s">
        <v>1645</v>
      </c>
      <c r="C23" s="4" t="s">
        <v>1646</v>
      </c>
      <c r="D23" s="7" t="s">
        <v>216</v>
      </c>
      <c r="E23" s="7" t="s">
        <v>217</v>
      </c>
      <c r="F23" s="7" t="s">
        <v>1647</v>
      </c>
      <c r="G23" s="4" t="s">
        <v>1648</v>
      </c>
    </row>
    <row r="24" spans="1:7" ht="26" customHeight="1">
      <c r="A24" s="4" t="s">
        <v>1637</v>
      </c>
      <c r="B24" s="4" t="s">
        <v>1649</v>
      </c>
      <c r="C24" s="4" t="s">
        <v>1650</v>
      </c>
      <c r="D24" s="7" t="s">
        <v>1366</v>
      </c>
      <c r="E24" s="7" t="s">
        <v>1651</v>
      </c>
      <c r="F24" s="7" t="s">
        <v>1652</v>
      </c>
      <c r="G24" s="4"/>
    </row>
    <row r="25" spans="1:7" ht="26" customHeight="1">
      <c r="A25" s="4" t="s">
        <v>1637</v>
      </c>
      <c r="B25" s="4" t="s">
        <v>1653</v>
      </c>
      <c r="C25" s="4" t="s">
        <v>1654</v>
      </c>
      <c r="D25" s="7" t="s">
        <v>1355</v>
      </c>
      <c r="E25" s="7" t="s">
        <v>1365</v>
      </c>
      <c r="F25" s="7" t="s">
        <v>1644</v>
      </c>
      <c r="G25" s="4" t="s">
        <v>1655</v>
      </c>
    </row>
    <row r="26" spans="1:7" ht="26" customHeight="1">
      <c r="A26" s="4" t="s">
        <v>1637</v>
      </c>
      <c r="B26" s="4" t="s">
        <v>1656</v>
      </c>
      <c r="C26" s="4" t="s">
        <v>1657</v>
      </c>
      <c r="D26" s="7" t="s">
        <v>1658</v>
      </c>
      <c r="E26" s="7" t="s">
        <v>1659</v>
      </c>
      <c r="F26" s="7" t="s">
        <v>1660</v>
      </c>
      <c r="G26" s="4" t="s">
        <v>1661</v>
      </c>
    </row>
    <row r="27" spans="1:7" ht="26" customHeight="1">
      <c r="A27" s="4" t="s">
        <v>1637</v>
      </c>
      <c r="B27" s="4" t="s">
        <v>1662</v>
      </c>
      <c r="C27" s="4" t="s">
        <v>1644</v>
      </c>
      <c r="D27" s="7" t="s">
        <v>1355</v>
      </c>
      <c r="E27" s="7" t="s">
        <v>1365</v>
      </c>
      <c r="F27" s="7" t="s">
        <v>1644</v>
      </c>
      <c r="G27" s="4"/>
    </row>
    <row r="28" spans="1:7" ht="26" customHeight="1">
      <c r="A28" s="4" t="s">
        <v>1637</v>
      </c>
      <c r="B28" s="4" t="s">
        <v>1663</v>
      </c>
      <c r="C28" s="4" t="s">
        <v>1664</v>
      </c>
      <c r="D28" s="7" t="s">
        <v>852</v>
      </c>
      <c r="E28" s="7" t="s">
        <v>852</v>
      </c>
      <c r="F28" s="7" t="s">
        <v>1665</v>
      </c>
      <c r="G28" s="4" t="s">
        <v>1666</v>
      </c>
    </row>
    <row r="29" spans="1:7" ht="26" customHeight="1">
      <c r="A29" s="4" t="s">
        <v>1637</v>
      </c>
      <c r="B29" s="4" t="s">
        <v>1667</v>
      </c>
      <c r="C29" s="4" t="s">
        <v>1668</v>
      </c>
      <c r="D29" s="7" t="s">
        <v>1394</v>
      </c>
      <c r="E29" s="7" t="s">
        <v>1389</v>
      </c>
      <c r="F29" s="7" t="s">
        <v>876</v>
      </c>
      <c r="G29" s="4" t="s">
        <v>1669</v>
      </c>
    </row>
    <row r="30" spans="1:7" ht="26" customHeight="1">
      <c r="A30" s="4" t="s">
        <v>1637</v>
      </c>
      <c r="B30" s="3" t="s">
        <v>1670</v>
      </c>
      <c r="C30" s="4" t="s">
        <v>1671</v>
      </c>
      <c r="D30" s="7" t="s">
        <v>217</v>
      </c>
      <c r="E30" s="7" t="s">
        <v>1672</v>
      </c>
      <c r="F30" s="7" t="s">
        <v>1673</v>
      </c>
      <c r="G30" s="4"/>
    </row>
    <row r="31" spans="1:7" ht="20" customHeight="1">
      <c r="A31" s="5" t="s">
        <v>1674</v>
      </c>
      <c r="B31" s="5"/>
      <c r="C31" s="5"/>
      <c r="D31" s="5"/>
      <c r="E31" s="5"/>
      <c r="F31" s="5"/>
      <c r="G31" s="5"/>
    </row>
    <row r="32" spans="1:7" ht="26" customHeight="1">
      <c r="A32" s="4" t="s">
        <v>1674</v>
      </c>
      <c r="B32" s="4" t="s">
        <v>1675</v>
      </c>
      <c r="C32" s="4" t="s">
        <v>1397</v>
      </c>
      <c r="D32" s="7" t="s">
        <v>220</v>
      </c>
      <c r="E32" s="7" t="s">
        <v>1517</v>
      </c>
      <c r="F32" s="7" t="s">
        <v>1676</v>
      </c>
      <c r="G32" s="4" t="s">
        <v>1677</v>
      </c>
    </row>
    <row r="33" spans="1:7" ht="26" customHeight="1">
      <c r="A33" s="4" t="s">
        <v>1674</v>
      </c>
      <c r="B33" s="4" t="s">
        <v>1678</v>
      </c>
      <c r="C33" s="4" t="s">
        <v>1644</v>
      </c>
      <c r="D33" s="7" t="s">
        <v>1355</v>
      </c>
      <c r="E33" s="7" t="s">
        <v>1365</v>
      </c>
      <c r="F33" s="7" t="s">
        <v>1644</v>
      </c>
      <c r="G33" s="4"/>
    </row>
    <row r="34" spans="1:7" ht="26" customHeight="1">
      <c r="A34" s="4" t="s">
        <v>1674</v>
      </c>
      <c r="B34" s="4" t="s">
        <v>1679</v>
      </c>
      <c r="C34" s="4" t="s">
        <v>1680</v>
      </c>
      <c r="D34" s="7" t="s">
        <v>1355</v>
      </c>
      <c r="E34" s="7" t="s">
        <v>1356</v>
      </c>
      <c r="F34" s="7" t="s">
        <v>1681</v>
      </c>
      <c r="G34" s="4"/>
    </row>
    <row r="35" spans="1:7" ht="26" customHeight="1">
      <c r="A35" s="4" t="s">
        <v>1674</v>
      </c>
      <c r="B35" s="3" t="s">
        <v>1682</v>
      </c>
      <c r="C35" s="4" t="s">
        <v>1683</v>
      </c>
      <c r="D35" s="7" t="s">
        <v>1517</v>
      </c>
      <c r="E35" s="7" t="s">
        <v>217</v>
      </c>
      <c r="F35" s="7" t="s">
        <v>1684</v>
      </c>
      <c r="G35" s="4"/>
    </row>
    <row r="36" spans="1:7" ht="20" customHeight="1">
      <c r="A36" s="5" t="s">
        <v>1685</v>
      </c>
      <c r="B36" s="5"/>
      <c r="C36" s="5"/>
      <c r="D36" s="5"/>
      <c r="E36" s="5"/>
      <c r="F36" s="5"/>
      <c r="G36" s="5"/>
    </row>
    <row r="37" spans="1:7" ht="26" customHeight="1">
      <c r="A37" s="4" t="s">
        <v>1685</v>
      </c>
      <c r="B37" s="4" t="s">
        <v>1686</v>
      </c>
      <c r="C37" s="4" t="s">
        <v>1687</v>
      </c>
      <c r="D37" s="7" t="s">
        <v>1355</v>
      </c>
      <c r="E37" s="7" t="s">
        <v>1365</v>
      </c>
      <c r="F37" s="7" t="s">
        <v>1644</v>
      </c>
      <c r="G37" s="4" t="s">
        <v>1688</v>
      </c>
    </row>
    <row r="38" spans="1:7" ht="26" customHeight="1">
      <c r="A38" s="4" t="s">
        <v>1685</v>
      </c>
      <c r="B38" s="4" t="s">
        <v>1689</v>
      </c>
      <c r="C38" s="4" t="s">
        <v>1680</v>
      </c>
      <c r="D38" s="7" t="s">
        <v>1355</v>
      </c>
      <c r="E38" s="7" t="s">
        <v>1356</v>
      </c>
      <c r="F38" s="7" t="s">
        <v>1681</v>
      </c>
      <c r="G38" s="4" t="s">
        <v>1690</v>
      </c>
    </row>
    <row r="39" spans="1:7" ht="26" customHeight="1">
      <c r="A39" s="4" t="s">
        <v>1685</v>
      </c>
      <c r="B39" s="4" t="s">
        <v>1691</v>
      </c>
      <c r="C39" s="4" t="s">
        <v>1692</v>
      </c>
      <c r="D39" s="7" t="s">
        <v>1384</v>
      </c>
      <c r="E39" s="7" t="s">
        <v>1385</v>
      </c>
      <c r="F39" s="7" t="s">
        <v>1693</v>
      </c>
      <c r="G39" s="4"/>
    </row>
    <row r="40" spans="1:7" ht="26" customHeight="1">
      <c r="A40" s="4" t="s">
        <v>1685</v>
      </c>
      <c r="B40" s="4" t="s">
        <v>1694</v>
      </c>
      <c r="C40" s="4" t="s">
        <v>1695</v>
      </c>
      <c r="D40" s="7" t="s">
        <v>1408</v>
      </c>
      <c r="E40" s="7" t="s">
        <v>1409</v>
      </c>
      <c r="F40" s="7" t="s">
        <v>1696</v>
      </c>
      <c r="G40" s="4"/>
    </row>
    <row r="41" spans="1:7" ht="26" customHeight="1">
      <c r="A41" s="4" t="s">
        <v>1685</v>
      </c>
      <c r="B41" s="4" t="s">
        <v>1697</v>
      </c>
      <c r="C41" s="4" t="s">
        <v>1698</v>
      </c>
      <c r="D41" s="7" t="s">
        <v>1398</v>
      </c>
      <c r="E41" s="7" t="s">
        <v>1399</v>
      </c>
      <c r="F41" s="7" t="s">
        <v>1699</v>
      </c>
      <c r="G41" s="4"/>
    </row>
    <row r="42" spans="1:7" ht="26" customHeight="1">
      <c r="A42" s="4" t="s">
        <v>1685</v>
      </c>
      <c r="B42" s="3" t="s">
        <v>1700</v>
      </c>
      <c r="C42" s="4" t="s">
        <v>1701</v>
      </c>
      <c r="D42" s="7" t="s">
        <v>202</v>
      </c>
      <c r="E42" s="7" t="s">
        <v>1512</v>
      </c>
      <c r="F42" s="7" t="s">
        <v>1702</v>
      </c>
      <c r="G42" s="4"/>
    </row>
    <row r="43" spans="1:7" ht="20" customHeight="1">
      <c r="A43" s="5" t="s">
        <v>1703</v>
      </c>
      <c r="B43" s="5"/>
      <c r="C43" s="5"/>
      <c r="D43" s="5"/>
      <c r="E43" s="5"/>
      <c r="F43" s="5"/>
      <c r="G43" s="5"/>
    </row>
    <row r="44" spans="1:7" ht="26" customHeight="1">
      <c r="A44" s="4" t="s">
        <v>1703</v>
      </c>
      <c r="B44" s="4" t="s">
        <v>1704</v>
      </c>
      <c r="C44" s="4" t="s">
        <v>1705</v>
      </c>
      <c r="D44" s="7" t="s">
        <v>202</v>
      </c>
      <c r="E44" s="7" t="s">
        <v>200</v>
      </c>
      <c r="F44" s="7" t="s">
        <v>1624</v>
      </c>
      <c r="G44" s="4" t="s">
        <v>1706</v>
      </c>
    </row>
    <row r="45" spans="1:7" ht="26" customHeight="1">
      <c r="A45" s="4" t="s">
        <v>1703</v>
      </c>
      <c r="B45" s="4" t="s">
        <v>1707</v>
      </c>
      <c r="C45" s="4" t="s">
        <v>1708</v>
      </c>
      <c r="D45" s="7" t="s">
        <v>220</v>
      </c>
      <c r="E45" s="7" t="s">
        <v>216</v>
      </c>
      <c r="F45" s="7" t="s">
        <v>1709</v>
      </c>
      <c r="G45" s="4" t="s">
        <v>1710</v>
      </c>
    </row>
    <row r="46" spans="1:7" ht="26" customHeight="1">
      <c r="A46" s="4" t="s">
        <v>1703</v>
      </c>
      <c r="B46" s="4" t="s">
        <v>1711</v>
      </c>
      <c r="C46" s="4" t="s">
        <v>1712</v>
      </c>
      <c r="D46" s="7" t="s">
        <v>202</v>
      </c>
      <c r="E46" s="7" t="s">
        <v>200</v>
      </c>
      <c r="F46" s="7" t="s">
        <v>1624</v>
      </c>
      <c r="G46" s="4" t="s">
        <v>1713</v>
      </c>
    </row>
    <row r="47" spans="1:7" ht="26" customHeight="1">
      <c r="A47" s="4" t="s">
        <v>1703</v>
      </c>
      <c r="B47" s="4" t="s">
        <v>1714</v>
      </c>
      <c r="C47" s="4" t="s">
        <v>1715</v>
      </c>
      <c r="D47" s="7" t="s">
        <v>220</v>
      </c>
      <c r="E47" s="7" t="s">
        <v>216</v>
      </c>
      <c r="F47" s="7" t="s">
        <v>1716</v>
      </c>
      <c r="G47" s="4" t="s">
        <v>1717</v>
      </c>
    </row>
    <row r="48" spans="1:7" ht="26" customHeight="1">
      <c r="A48" s="4" t="s">
        <v>1703</v>
      </c>
      <c r="B48" s="4" t="s">
        <v>1718</v>
      </c>
      <c r="C48" s="4" t="s">
        <v>1719</v>
      </c>
      <c r="D48" s="7" t="s">
        <v>1640</v>
      </c>
      <c r="E48" s="7" t="s">
        <v>220</v>
      </c>
      <c r="F48" s="7" t="s">
        <v>1720</v>
      </c>
      <c r="G48" s="4"/>
    </row>
    <row r="49" spans="1:7" ht="26" customHeight="1">
      <c r="A49" s="4" t="s">
        <v>1703</v>
      </c>
      <c r="B49" s="3" t="s">
        <v>1721</v>
      </c>
      <c r="C49" s="4" t="s">
        <v>1722</v>
      </c>
      <c r="D49" s="7" t="s">
        <v>216</v>
      </c>
      <c r="E49" s="7" t="s">
        <v>194</v>
      </c>
      <c r="F49" s="7" t="s">
        <v>1610</v>
      </c>
      <c r="G49" s="4"/>
    </row>
    <row r="50" spans="1:7" ht="20" customHeight="1">
      <c r="A50" s="5" t="s">
        <v>1723</v>
      </c>
      <c r="B50" s="5"/>
      <c r="C50" s="5"/>
      <c r="D50" s="5"/>
      <c r="E50" s="5"/>
      <c r="F50" s="5"/>
      <c r="G50" s="5"/>
    </row>
    <row r="51" spans="1:7" ht="26" customHeight="1">
      <c r="A51" s="4" t="s">
        <v>1723</v>
      </c>
      <c r="B51" s="4" t="s">
        <v>1724</v>
      </c>
      <c r="C51" s="4" t="s">
        <v>1725</v>
      </c>
      <c r="D51" s="7" t="s">
        <v>200</v>
      </c>
      <c r="E51" s="7" t="s">
        <v>198</v>
      </c>
      <c r="F51" s="7" t="s">
        <v>1608</v>
      </c>
      <c r="G51" s="4" t="s">
        <v>1726</v>
      </c>
    </row>
    <row r="52" spans="1:7" ht="26" customHeight="1">
      <c r="A52" s="4" t="s">
        <v>1723</v>
      </c>
      <c r="B52" s="4" t="s">
        <v>1727</v>
      </c>
      <c r="C52" s="4" t="s">
        <v>1728</v>
      </c>
      <c r="D52" s="7" t="s">
        <v>216</v>
      </c>
      <c r="E52" s="7" t="s">
        <v>217</v>
      </c>
      <c r="F52" s="7" t="s">
        <v>1729</v>
      </c>
      <c r="G52" s="4" t="s">
        <v>1730</v>
      </c>
    </row>
    <row r="53" spans="1:7" ht="26" customHeight="1">
      <c r="A53" s="4" t="s">
        <v>1723</v>
      </c>
      <c r="B53" s="4" t="s">
        <v>1731</v>
      </c>
      <c r="C53" s="4" t="s">
        <v>1732</v>
      </c>
      <c r="D53" s="7" t="s">
        <v>198</v>
      </c>
      <c r="E53" s="7" t="s">
        <v>194</v>
      </c>
      <c r="F53" s="7" t="s">
        <v>1733</v>
      </c>
      <c r="G53" s="4" t="s">
        <v>1734</v>
      </c>
    </row>
    <row r="54" spans="1:7" ht="26" customHeight="1">
      <c r="A54" s="4" t="s">
        <v>1723</v>
      </c>
      <c r="B54" s="3" t="s">
        <v>1735</v>
      </c>
      <c r="C54" s="4" t="s">
        <v>1736</v>
      </c>
      <c r="D54" s="7" t="s">
        <v>852</v>
      </c>
      <c r="E54" s="7" t="s">
        <v>852</v>
      </c>
      <c r="F54" s="7" t="s">
        <v>852</v>
      </c>
      <c r="G54" s="4" t="s">
        <v>1737</v>
      </c>
    </row>
  </sheetData>
  <mergeCells count="9">
    <mergeCell ref="A1:G1"/>
    <mergeCell ref="A2:G2"/>
    <mergeCell ref="A3:G3"/>
    <mergeCell ref="A5:G5"/>
    <mergeCell ref="A20:G20"/>
    <mergeCell ref="A31:G31"/>
    <mergeCell ref="A36:G36"/>
    <mergeCell ref="A43:G43"/>
    <mergeCell ref="A50:G5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2.7109375" customWidth="1"/>
    <col min="3" max="3" width="28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1738</v>
      </c>
      <c r="B3" s="5"/>
      <c r="C3" s="5"/>
      <c r="D3" s="5"/>
      <c r="E3" s="5"/>
      <c r="F3" s="5"/>
    </row>
    <row r="4" spans="1:6" ht="32" customHeight="1">
      <c r="A4" s="6" t="s">
        <v>1245</v>
      </c>
      <c r="B4" s="6" t="s">
        <v>1739</v>
      </c>
      <c r="C4" s="6" t="s">
        <v>212</v>
      </c>
      <c r="D4" s="6" t="s">
        <v>1740</v>
      </c>
      <c r="E4" s="6" t="s">
        <v>1741</v>
      </c>
      <c r="F4" s="6" t="s">
        <v>335</v>
      </c>
    </row>
    <row r="5" spans="1:6" ht="18" customHeight="1">
      <c r="A5" s="9" t="s">
        <v>1742</v>
      </c>
      <c r="B5" s="9"/>
      <c r="C5" s="9"/>
      <c r="D5" s="9"/>
      <c r="E5" s="9"/>
      <c r="F5" s="9"/>
    </row>
    <row r="6" spans="1:6" ht="26" customHeight="1">
      <c r="A6" s="4" t="s">
        <v>1742</v>
      </c>
      <c r="B6" s="4" t="s">
        <v>1743</v>
      </c>
      <c r="C6" s="4" t="s">
        <v>1744</v>
      </c>
      <c r="D6" s="7" t="s">
        <v>202</v>
      </c>
      <c r="E6" s="7" t="s">
        <v>200</v>
      </c>
      <c r="F6" s="4" t="s">
        <v>1745</v>
      </c>
    </row>
    <row r="7" spans="1:6" ht="26" customHeight="1">
      <c r="A7" s="4" t="s">
        <v>1742</v>
      </c>
      <c r="B7" s="4" t="s">
        <v>1746</v>
      </c>
      <c r="C7" s="4" t="s">
        <v>1747</v>
      </c>
      <c r="D7" s="7" t="s">
        <v>1748</v>
      </c>
      <c r="E7" s="7" t="s">
        <v>1394</v>
      </c>
      <c r="F7" s="4" t="s">
        <v>1749</v>
      </c>
    </row>
    <row r="8" spans="1:6" ht="26" customHeight="1">
      <c r="A8" s="4" t="s">
        <v>1742</v>
      </c>
      <c r="B8" s="4" t="s">
        <v>1750</v>
      </c>
      <c r="C8" s="4" t="s">
        <v>1751</v>
      </c>
      <c r="D8" s="7" t="s">
        <v>1503</v>
      </c>
      <c r="E8" s="7" t="s">
        <v>1752</v>
      </c>
      <c r="F8" s="4" t="s">
        <v>1753</v>
      </c>
    </row>
    <row r="9" spans="1:6" ht="18" customHeight="1">
      <c r="A9" s="9" t="s">
        <v>1754</v>
      </c>
      <c r="B9" s="9"/>
      <c r="C9" s="9"/>
      <c r="D9" s="9"/>
      <c r="E9" s="9"/>
      <c r="F9" s="9"/>
    </row>
    <row r="10" spans="1:6" ht="26" customHeight="1">
      <c r="A10" s="4" t="s">
        <v>1754</v>
      </c>
      <c r="B10" s="4" t="s">
        <v>1755</v>
      </c>
      <c r="C10" s="4" t="s">
        <v>1756</v>
      </c>
      <c r="D10" s="7" t="s">
        <v>1502</v>
      </c>
      <c r="E10" s="7" t="s">
        <v>1503</v>
      </c>
      <c r="F10" s="4" t="s">
        <v>1757</v>
      </c>
    </row>
    <row r="11" spans="1:6" ht="26" customHeight="1">
      <c r="A11" s="4" t="s">
        <v>1754</v>
      </c>
      <c r="B11" s="4" t="s">
        <v>1758</v>
      </c>
      <c r="C11" s="4" t="s">
        <v>1759</v>
      </c>
      <c r="D11" s="7" t="s">
        <v>1506</v>
      </c>
      <c r="E11" s="7" t="s">
        <v>1507</v>
      </c>
      <c r="F11" s="4" t="s">
        <v>1760</v>
      </c>
    </row>
    <row r="12" spans="1:6" ht="18" customHeight="1">
      <c r="A12" s="9" t="s">
        <v>1761</v>
      </c>
      <c r="B12" s="9"/>
      <c r="C12" s="9"/>
      <c r="D12" s="9"/>
      <c r="E12" s="9"/>
      <c r="F12" s="9"/>
    </row>
    <row r="13" spans="1:6" ht="26" customHeight="1">
      <c r="A13" s="4" t="s">
        <v>1761</v>
      </c>
      <c r="B13" s="4" t="s">
        <v>1762</v>
      </c>
      <c r="C13" s="4" t="s">
        <v>876</v>
      </c>
      <c r="D13" s="7" t="s">
        <v>1763</v>
      </c>
      <c r="E13" s="7" t="s">
        <v>1764</v>
      </c>
      <c r="F13" s="4" t="s">
        <v>1765</v>
      </c>
    </row>
    <row r="14" spans="1:6" ht="26" customHeight="1">
      <c r="A14" s="4" t="s">
        <v>1761</v>
      </c>
      <c r="B14" s="4" t="s">
        <v>1766</v>
      </c>
      <c r="C14" s="4" t="s">
        <v>876</v>
      </c>
      <c r="D14" s="7" t="s">
        <v>1767</v>
      </c>
      <c r="E14" s="7" t="s">
        <v>1768</v>
      </c>
      <c r="F14" s="4"/>
    </row>
    <row r="15" spans="1:6" ht="18" customHeight="1">
      <c r="A15" s="9" t="s">
        <v>1769</v>
      </c>
      <c r="B15" s="9"/>
      <c r="C15" s="9"/>
      <c r="D15" s="9"/>
      <c r="E15" s="9"/>
      <c r="F15" s="9"/>
    </row>
    <row r="16" spans="1:6" ht="26" customHeight="1">
      <c r="A16" s="4" t="s">
        <v>1769</v>
      </c>
      <c r="B16" s="4" t="s">
        <v>1770</v>
      </c>
      <c r="C16" s="4" t="s">
        <v>876</v>
      </c>
      <c r="D16" s="7" t="s">
        <v>1771</v>
      </c>
      <c r="E16" s="7" t="s">
        <v>1772</v>
      </c>
      <c r="F16" s="4" t="s">
        <v>1773</v>
      </c>
    </row>
    <row r="17" spans="1:6" ht="18" customHeight="1">
      <c r="A17" s="9" t="s">
        <v>1774</v>
      </c>
      <c r="B17" s="9"/>
      <c r="C17" s="9"/>
      <c r="D17" s="9"/>
      <c r="E17" s="9"/>
      <c r="F17" s="9"/>
    </row>
    <row r="18" spans="1:6" ht="26" customHeight="1">
      <c r="A18" s="4" t="s">
        <v>1774</v>
      </c>
      <c r="B18" s="4" t="s">
        <v>1775</v>
      </c>
      <c r="C18" s="4" t="s">
        <v>876</v>
      </c>
      <c r="D18" s="7" t="s">
        <v>1506</v>
      </c>
      <c r="E18" s="7" t="s">
        <v>1776</v>
      </c>
      <c r="F18" s="4" t="s">
        <v>1777</v>
      </c>
    </row>
    <row r="19" spans="1:6" ht="26" customHeight="1">
      <c r="A19" s="4" t="s">
        <v>1774</v>
      </c>
      <c r="B19" s="4" t="s">
        <v>1778</v>
      </c>
      <c r="C19" s="4" t="s">
        <v>876</v>
      </c>
      <c r="D19" s="7" t="s">
        <v>1771</v>
      </c>
      <c r="E19" s="7" t="s">
        <v>1779</v>
      </c>
      <c r="F19" s="4" t="s">
        <v>1780</v>
      </c>
    </row>
    <row r="20" spans="1:6" ht="26" customHeight="1">
      <c r="A20" s="4" t="s">
        <v>1774</v>
      </c>
      <c r="B20" s="4" t="s">
        <v>1781</v>
      </c>
      <c r="C20" s="4" t="s">
        <v>876</v>
      </c>
      <c r="D20" s="7" t="s">
        <v>1782</v>
      </c>
      <c r="E20" s="7" t="s">
        <v>1783</v>
      </c>
      <c r="F20" s="4" t="s">
        <v>1784</v>
      </c>
    </row>
    <row r="21" spans="1:6" ht="18" customHeight="1">
      <c r="A21" s="9" t="s">
        <v>1785</v>
      </c>
      <c r="B21" s="9"/>
      <c r="C21" s="9"/>
      <c r="D21" s="9"/>
      <c r="E21" s="9"/>
      <c r="F21" s="9"/>
    </row>
    <row r="22" spans="1:6" ht="26" customHeight="1">
      <c r="A22" s="4" t="s">
        <v>1785</v>
      </c>
      <c r="B22" s="4" t="s">
        <v>1786</v>
      </c>
      <c r="C22" s="4" t="s">
        <v>876</v>
      </c>
      <c r="D22" s="7" t="s">
        <v>1787</v>
      </c>
      <c r="E22" s="7" t="s">
        <v>1788</v>
      </c>
      <c r="F22" s="4" t="s">
        <v>1789</v>
      </c>
    </row>
    <row r="24" spans="1:6">
      <c r="A24" s="13" t="s">
        <v>1790</v>
      </c>
      <c r="B24" s="13"/>
      <c r="C24" s="13"/>
      <c r="D24" s="13"/>
      <c r="E24" s="13"/>
      <c r="F24" s="13"/>
    </row>
  </sheetData>
  <mergeCells count="10">
    <mergeCell ref="A1:F1"/>
    <mergeCell ref="A2:F2"/>
    <mergeCell ref="A3:F3"/>
    <mergeCell ref="A5:F5"/>
    <mergeCell ref="A9:F9"/>
    <mergeCell ref="A12:F12"/>
    <mergeCell ref="A15:F15"/>
    <mergeCell ref="A17:F17"/>
    <mergeCell ref="A21:F21"/>
    <mergeCell ref="A24:F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1791</v>
      </c>
      <c r="B3" s="5"/>
      <c r="C3" s="5"/>
    </row>
    <row r="4" spans="1:3" ht="32" customHeight="1">
      <c r="A4" s="6" t="s">
        <v>1245</v>
      </c>
      <c r="B4" s="6" t="s">
        <v>1792</v>
      </c>
      <c r="C4" s="6" t="s">
        <v>1793</v>
      </c>
    </row>
    <row r="5" spans="1:3" ht="18" customHeight="1">
      <c r="A5" s="9" t="s">
        <v>1794</v>
      </c>
      <c r="B5" s="9"/>
      <c r="C5" s="9"/>
    </row>
    <row r="6" spans="1:3" ht="26" customHeight="1">
      <c r="A6" s="4" t="s">
        <v>1794</v>
      </c>
      <c r="B6" s="4" t="s">
        <v>1795</v>
      </c>
      <c r="C6" s="14" t="s">
        <v>1796</v>
      </c>
    </row>
    <row r="7" spans="1:3" ht="26" customHeight="1">
      <c r="A7" s="4" t="s">
        <v>1794</v>
      </c>
      <c r="B7" s="4" t="s">
        <v>1797</v>
      </c>
      <c r="C7" s="14" t="s">
        <v>1796</v>
      </c>
    </row>
    <row r="8" spans="1:3" ht="26" customHeight="1">
      <c r="A8" s="4" t="s">
        <v>1794</v>
      </c>
      <c r="B8" s="4" t="s">
        <v>1798</v>
      </c>
      <c r="C8" s="14" t="s">
        <v>1796</v>
      </c>
    </row>
    <row r="9" spans="1:3" ht="26" customHeight="1">
      <c r="A9" s="4" t="s">
        <v>1794</v>
      </c>
      <c r="B9" s="4" t="s">
        <v>1799</v>
      </c>
      <c r="C9" s="14" t="s">
        <v>1796</v>
      </c>
    </row>
    <row r="10" spans="1:3" ht="18" customHeight="1">
      <c r="A10" s="9" t="s">
        <v>1800</v>
      </c>
      <c r="B10" s="9"/>
      <c r="C10" s="9"/>
    </row>
    <row r="11" spans="1:3" ht="26" customHeight="1">
      <c r="A11" s="4" t="s">
        <v>1800</v>
      </c>
      <c r="B11" s="4" t="s">
        <v>1801</v>
      </c>
      <c r="C11" s="14" t="s">
        <v>1796</v>
      </c>
    </row>
    <row r="12" spans="1:3" ht="26" customHeight="1">
      <c r="A12" s="4" t="s">
        <v>1800</v>
      </c>
      <c r="B12" s="4" t="s">
        <v>1802</v>
      </c>
      <c r="C12" s="14" t="s">
        <v>1796</v>
      </c>
    </row>
    <row r="13" spans="1:3" ht="26" customHeight="1">
      <c r="A13" s="4" t="s">
        <v>1800</v>
      </c>
      <c r="B13" s="4" t="s">
        <v>1803</v>
      </c>
      <c r="C13" s="14" t="s">
        <v>1796</v>
      </c>
    </row>
    <row r="14" spans="1:3" ht="26" customHeight="1">
      <c r="A14" s="4" t="s">
        <v>1800</v>
      </c>
      <c r="B14" s="4" t="s">
        <v>1804</v>
      </c>
      <c r="C14" s="14" t="s">
        <v>1796</v>
      </c>
    </row>
    <row r="15" spans="1:3" ht="18" customHeight="1">
      <c r="A15" s="9" t="s">
        <v>1805</v>
      </c>
      <c r="B15" s="9"/>
      <c r="C15" s="9"/>
    </row>
    <row r="16" spans="1:3" ht="26" customHeight="1">
      <c r="A16" s="4" t="s">
        <v>1805</v>
      </c>
      <c r="B16" s="4" t="s">
        <v>1806</v>
      </c>
      <c r="C16" s="14" t="s">
        <v>1796</v>
      </c>
    </row>
    <row r="17" spans="1:3" ht="26" customHeight="1">
      <c r="A17" s="4" t="s">
        <v>1805</v>
      </c>
      <c r="B17" s="4" t="s">
        <v>1807</v>
      </c>
      <c r="C17" s="14" t="s">
        <v>1796</v>
      </c>
    </row>
    <row r="18" spans="1:3" ht="26" customHeight="1">
      <c r="A18" s="4" t="s">
        <v>1805</v>
      </c>
      <c r="B18" s="4" t="s">
        <v>1808</v>
      </c>
      <c r="C18" s="14" t="s">
        <v>1796</v>
      </c>
    </row>
    <row r="19" spans="1:3" ht="26" customHeight="1">
      <c r="A19" s="4" t="s">
        <v>1805</v>
      </c>
      <c r="B19" s="4" t="s">
        <v>1809</v>
      </c>
      <c r="C19" s="14" t="s">
        <v>1796</v>
      </c>
    </row>
    <row r="20" spans="1:3" ht="18" customHeight="1">
      <c r="A20" s="9" t="s">
        <v>1810</v>
      </c>
      <c r="B20" s="9"/>
      <c r="C20" s="9"/>
    </row>
    <row r="21" spans="1:3" ht="26" customHeight="1">
      <c r="A21" s="4" t="s">
        <v>1810</v>
      </c>
      <c r="B21" s="4" t="s">
        <v>1811</v>
      </c>
      <c r="C21" s="14" t="s">
        <v>1796</v>
      </c>
    </row>
    <row r="22" spans="1:3" ht="26" customHeight="1">
      <c r="A22" s="4" t="s">
        <v>1810</v>
      </c>
      <c r="B22" s="4" t="s">
        <v>1812</v>
      </c>
      <c r="C22" s="14" t="s">
        <v>1796</v>
      </c>
    </row>
    <row r="23" spans="1:3" ht="26" customHeight="1">
      <c r="A23" s="4" t="s">
        <v>1810</v>
      </c>
      <c r="B23" s="4" t="s">
        <v>1813</v>
      </c>
      <c r="C23" s="14" t="s">
        <v>1796</v>
      </c>
    </row>
    <row r="24" spans="1:3" ht="18" customHeight="1">
      <c r="A24" s="9" t="s">
        <v>1814</v>
      </c>
      <c r="B24" s="9"/>
      <c r="C24" s="9"/>
    </row>
    <row r="25" spans="1:3" ht="26" customHeight="1">
      <c r="A25" s="4" t="s">
        <v>1814</v>
      </c>
      <c r="B25" s="4" t="s">
        <v>1815</v>
      </c>
      <c r="C25" s="14" t="s">
        <v>1796</v>
      </c>
    </row>
    <row r="26" spans="1:3" ht="26" customHeight="1">
      <c r="A26" s="4" t="s">
        <v>1814</v>
      </c>
      <c r="B26" s="4" t="s">
        <v>1816</v>
      </c>
      <c r="C26" s="14" t="s">
        <v>1796</v>
      </c>
    </row>
    <row r="27" spans="1:3" ht="26" customHeight="1">
      <c r="A27" s="4" t="s">
        <v>1814</v>
      </c>
      <c r="B27" s="4" t="s">
        <v>1817</v>
      </c>
      <c r="C27" s="14" t="s">
        <v>1796</v>
      </c>
    </row>
    <row r="28" spans="1:3" ht="18" customHeight="1">
      <c r="A28" s="9" t="s">
        <v>1818</v>
      </c>
      <c r="B28" s="9"/>
      <c r="C28" s="9"/>
    </row>
    <row r="29" spans="1:3" ht="26" customHeight="1">
      <c r="A29" s="4" t="s">
        <v>1818</v>
      </c>
      <c r="B29" s="4" t="s">
        <v>1819</v>
      </c>
      <c r="C29" s="14" t="s">
        <v>1796</v>
      </c>
    </row>
    <row r="30" spans="1:3" ht="26" customHeight="1">
      <c r="A30" s="4" t="s">
        <v>1818</v>
      </c>
      <c r="B30" s="4" t="s">
        <v>1820</v>
      </c>
      <c r="C30" s="14" t="s">
        <v>1796</v>
      </c>
    </row>
    <row r="31" spans="1:3" ht="26" customHeight="1">
      <c r="A31" s="4" t="s">
        <v>1818</v>
      </c>
      <c r="B31" s="4" t="s">
        <v>1821</v>
      </c>
      <c r="C31" s="14" t="s">
        <v>1796</v>
      </c>
    </row>
    <row r="32" spans="1:3" ht="26" customHeight="1">
      <c r="A32" s="4" t="s">
        <v>1818</v>
      </c>
      <c r="B32" s="4" t="s">
        <v>1822</v>
      </c>
      <c r="C32" s="14" t="s">
        <v>1796</v>
      </c>
    </row>
    <row r="33" spans="1:3" ht="18" customHeight="1">
      <c r="A33" s="9" t="s">
        <v>1823</v>
      </c>
      <c r="B33" s="9"/>
      <c r="C33" s="9"/>
    </row>
    <row r="34" spans="1:3" ht="26" customHeight="1">
      <c r="A34" s="4" t="s">
        <v>1823</v>
      </c>
      <c r="B34" s="4" t="s">
        <v>1824</v>
      </c>
      <c r="C34" s="14" t="s">
        <v>1796</v>
      </c>
    </row>
    <row r="35" spans="1:3" ht="26" customHeight="1">
      <c r="A35" s="4" t="s">
        <v>1823</v>
      </c>
      <c r="B35" s="4" t="s">
        <v>1825</v>
      </c>
      <c r="C35" s="14" t="s">
        <v>1796</v>
      </c>
    </row>
    <row r="36" spans="1:3" ht="18" customHeight="1">
      <c r="A36" s="9" t="s">
        <v>1826</v>
      </c>
      <c r="B36" s="9"/>
      <c r="C36" s="9"/>
    </row>
    <row r="37" spans="1:3" ht="26" customHeight="1">
      <c r="A37" s="4" t="s">
        <v>1826</v>
      </c>
      <c r="B37" s="4" t="s">
        <v>1827</v>
      </c>
      <c r="C37" s="14" t="s">
        <v>1796</v>
      </c>
    </row>
    <row r="38" spans="1:3" ht="26" customHeight="1">
      <c r="A38" s="4" t="s">
        <v>1826</v>
      </c>
      <c r="B38" s="4" t="s">
        <v>1828</v>
      </c>
      <c r="C38" s="14" t="s">
        <v>1796</v>
      </c>
    </row>
    <row r="39" spans="1:3" ht="18" customHeight="1">
      <c r="A39" s="9" t="s">
        <v>398</v>
      </c>
      <c r="B39" s="9"/>
      <c r="C39" s="9"/>
    </row>
    <row r="40" spans="1:3" ht="26" customHeight="1">
      <c r="A40" s="4" t="s">
        <v>398</v>
      </c>
      <c r="B40" s="4" t="s">
        <v>1829</v>
      </c>
      <c r="C40" s="14" t="s">
        <v>1796</v>
      </c>
    </row>
    <row r="41" spans="1:3" ht="26" customHeight="1">
      <c r="A41" s="4" t="s">
        <v>398</v>
      </c>
      <c r="B41" s="4" t="s">
        <v>1830</v>
      </c>
      <c r="C41" s="14" t="s">
        <v>1796</v>
      </c>
    </row>
    <row r="42" spans="1:3" ht="26" customHeight="1">
      <c r="A42" s="4" t="s">
        <v>398</v>
      </c>
      <c r="B42" s="4" t="s">
        <v>1831</v>
      </c>
      <c r="C42" s="14" t="s">
        <v>1796</v>
      </c>
    </row>
    <row r="43" spans="1:3" ht="18" customHeight="1">
      <c r="A43" s="9" t="s">
        <v>1832</v>
      </c>
      <c r="B43" s="9"/>
      <c r="C43" s="9"/>
    </row>
    <row r="44" spans="1:3" ht="26" customHeight="1">
      <c r="A44" s="4" t="s">
        <v>1832</v>
      </c>
      <c r="B44" s="4" t="s">
        <v>1833</v>
      </c>
      <c r="C44" s="14" t="s">
        <v>1796</v>
      </c>
    </row>
    <row r="45" spans="1:3" ht="26" customHeight="1">
      <c r="A45" s="4" t="s">
        <v>1832</v>
      </c>
      <c r="B45" s="4" t="s">
        <v>1834</v>
      </c>
      <c r="C45" s="14" t="s">
        <v>1796</v>
      </c>
    </row>
    <row r="46" spans="1:3" ht="18" customHeight="1">
      <c r="A46" s="9" t="s">
        <v>1835</v>
      </c>
      <c r="B46" s="9"/>
      <c r="C46" s="9"/>
    </row>
    <row r="47" spans="1:3" ht="26" customHeight="1">
      <c r="A47" s="4" t="s">
        <v>1835</v>
      </c>
      <c r="B47" s="4" t="s">
        <v>1836</v>
      </c>
      <c r="C47" s="14" t="s">
        <v>1796</v>
      </c>
    </row>
    <row r="48" spans="1:3" ht="26" customHeight="1">
      <c r="A48" s="4" t="s">
        <v>1835</v>
      </c>
      <c r="B48" s="4" t="s">
        <v>1837</v>
      </c>
      <c r="C48" s="14" t="s">
        <v>1796</v>
      </c>
    </row>
  </sheetData>
  <mergeCells count="14">
    <mergeCell ref="A1:C1"/>
    <mergeCell ref="A2:C2"/>
    <mergeCell ref="A3:C3"/>
    <mergeCell ref="A5:C5"/>
    <mergeCell ref="A10:C10"/>
    <mergeCell ref="A15:C15"/>
    <mergeCell ref="A20:C20"/>
    <mergeCell ref="A24:C24"/>
    <mergeCell ref="A28:C28"/>
    <mergeCell ref="A33:C33"/>
    <mergeCell ref="A36:C36"/>
    <mergeCell ref="A39:C39"/>
    <mergeCell ref="A43:C43"/>
    <mergeCell ref="A46:C4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1838</v>
      </c>
      <c r="B3" s="5"/>
      <c r="C3" s="5"/>
      <c r="D3" s="5"/>
    </row>
    <row r="4" spans="1:4" ht="32" customHeight="1">
      <c r="A4" s="6" t="s">
        <v>1839</v>
      </c>
      <c r="B4" s="6" t="s">
        <v>228</v>
      </c>
      <c r="C4" s="6" t="s">
        <v>1840</v>
      </c>
      <c r="D4" s="6" t="s">
        <v>1841</v>
      </c>
    </row>
    <row r="5" spans="1:4" ht="18" customHeight="1">
      <c r="A5" s="9" t="s">
        <v>1250</v>
      </c>
      <c r="B5" s="9"/>
      <c r="C5" s="9"/>
      <c r="D5" s="9"/>
    </row>
    <row r="6" spans="1:4" ht="24" customHeight="1">
      <c r="A6" s="4" t="s">
        <v>1250</v>
      </c>
      <c r="B6" s="4" t="s">
        <v>1842</v>
      </c>
      <c r="C6" s="20" t="s">
        <v>1843</v>
      </c>
      <c r="D6" s="14" t="s">
        <v>1844</v>
      </c>
    </row>
    <row r="7" spans="1:4" ht="24" customHeight="1">
      <c r="A7" s="4" t="s">
        <v>1250</v>
      </c>
      <c r="B7" s="4" t="s">
        <v>1845</v>
      </c>
      <c r="C7" s="20" t="s">
        <v>1843</v>
      </c>
      <c r="D7" s="14" t="s">
        <v>1846</v>
      </c>
    </row>
    <row r="8" spans="1:4" ht="24" customHeight="1">
      <c r="A8" s="4" t="s">
        <v>1250</v>
      </c>
      <c r="B8" s="4" t="s">
        <v>1847</v>
      </c>
      <c r="C8" s="21" t="s">
        <v>1848</v>
      </c>
      <c r="D8" s="14" t="s">
        <v>1849</v>
      </c>
    </row>
    <row r="9" spans="1:4" ht="24" customHeight="1">
      <c r="A9" s="4" t="s">
        <v>1250</v>
      </c>
      <c r="B9" s="4" t="s">
        <v>1850</v>
      </c>
      <c r="C9" s="7" t="s">
        <v>1851</v>
      </c>
      <c r="D9" s="14" t="s">
        <v>1852</v>
      </c>
    </row>
    <row r="10" spans="1:4" ht="18" customHeight="1">
      <c r="A10" s="9" t="s">
        <v>1853</v>
      </c>
      <c r="B10" s="9"/>
      <c r="C10" s="9"/>
      <c r="D10" s="9"/>
    </row>
    <row r="11" spans="1:4" ht="24" customHeight="1">
      <c r="A11" s="4" t="s">
        <v>1853</v>
      </c>
      <c r="B11" s="4" t="s">
        <v>1854</v>
      </c>
      <c r="C11" s="20" t="s">
        <v>1843</v>
      </c>
      <c r="D11" s="14" t="s">
        <v>1855</v>
      </c>
    </row>
    <row r="12" spans="1:4" ht="24" customHeight="1">
      <c r="A12" s="4" t="s">
        <v>1853</v>
      </c>
      <c r="B12" s="4" t="s">
        <v>1856</v>
      </c>
      <c r="C12" s="21" t="s">
        <v>1848</v>
      </c>
      <c r="D12" s="14" t="s">
        <v>1857</v>
      </c>
    </row>
    <row r="13" spans="1:4" ht="18" customHeight="1">
      <c r="A13" s="9" t="s">
        <v>1858</v>
      </c>
      <c r="B13" s="9"/>
      <c r="C13" s="9"/>
      <c r="D13" s="9"/>
    </row>
    <row r="14" spans="1:4" ht="24" customHeight="1">
      <c r="A14" s="4" t="s">
        <v>1858</v>
      </c>
      <c r="B14" s="4" t="s">
        <v>1859</v>
      </c>
      <c r="C14" s="20" t="s">
        <v>1843</v>
      </c>
      <c r="D14" s="14" t="s">
        <v>1860</v>
      </c>
    </row>
    <row r="15" spans="1:4" ht="24" customHeight="1">
      <c r="A15" s="4" t="s">
        <v>1858</v>
      </c>
      <c r="B15" s="4" t="s">
        <v>1861</v>
      </c>
      <c r="C15" s="7" t="s">
        <v>1851</v>
      </c>
      <c r="D15" s="14" t="s">
        <v>1862</v>
      </c>
    </row>
    <row r="16" spans="1:4" ht="18" customHeight="1">
      <c r="A16" s="9" t="s">
        <v>1863</v>
      </c>
      <c r="B16" s="9"/>
      <c r="C16" s="9"/>
      <c r="D16" s="9"/>
    </row>
    <row r="17" spans="1:4" ht="24" customHeight="1">
      <c r="A17" s="4" t="s">
        <v>1863</v>
      </c>
      <c r="B17" s="4" t="s">
        <v>1864</v>
      </c>
      <c r="C17" s="20" t="s">
        <v>1843</v>
      </c>
      <c r="D17" s="14" t="s">
        <v>1865</v>
      </c>
    </row>
    <row r="18" spans="1:4" ht="24" customHeight="1">
      <c r="A18" s="4" t="s">
        <v>1863</v>
      </c>
      <c r="B18" s="4" t="s">
        <v>1866</v>
      </c>
      <c r="C18" s="20" t="s">
        <v>1843</v>
      </c>
      <c r="D18" s="14" t="s">
        <v>1867</v>
      </c>
    </row>
    <row r="19" spans="1:4" ht="24" customHeight="1">
      <c r="A19" s="4" t="s">
        <v>1863</v>
      </c>
      <c r="B19" s="4" t="s">
        <v>1868</v>
      </c>
      <c r="C19" s="21" t="s">
        <v>1848</v>
      </c>
      <c r="D19" s="14" t="s">
        <v>1869</v>
      </c>
    </row>
    <row r="20" spans="1:4" ht="18" customHeight="1">
      <c r="A20" s="9" t="s">
        <v>1271</v>
      </c>
      <c r="B20" s="9"/>
      <c r="C20" s="9"/>
      <c r="D20" s="9"/>
    </row>
    <row r="21" spans="1:4" ht="24" customHeight="1">
      <c r="A21" s="4" t="s">
        <v>1271</v>
      </c>
      <c r="B21" s="4" t="s">
        <v>1870</v>
      </c>
      <c r="C21" s="20" t="s">
        <v>1843</v>
      </c>
      <c r="D21" s="14" t="s">
        <v>1871</v>
      </c>
    </row>
    <row r="22" spans="1:4" ht="24" customHeight="1">
      <c r="A22" s="4" t="s">
        <v>1271</v>
      </c>
      <c r="B22" s="4" t="s">
        <v>1872</v>
      </c>
      <c r="C22" s="7" t="s">
        <v>1851</v>
      </c>
      <c r="D22" s="14" t="s">
        <v>1873</v>
      </c>
    </row>
    <row r="23" spans="1:4" ht="18" customHeight="1">
      <c r="A23" s="9" t="s">
        <v>1278</v>
      </c>
      <c r="B23" s="9"/>
      <c r="C23" s="9"/>
      <c r="D23" s="9"/>
    </row>
    <row r="24" spans="1:4" ht="24" customHeight="1">
      <c r="A24" s="4" t="s">
        <v>1278</v>
      </c>
      <c r="B24" s="4" t="s">
        <v>1874</v>
      </c>
      <c r="C24" s="20" t="s">
        <v>1843</v>
      </c>
      <c r="D24" s="14" t="s">
        <v>1875</v>
      </c>
    </row>
    <row r="25" spans="1:4" ht="24" customHeight="1">
      <c r="A25" s="4" t="s">
        <v>1278</v>
      </c>
      <c r="B25" s="4" t="s">
        <v>1876</v>
      </c>
      <c r="C25" s="21" t="s">
        <v>1848</v>
      </c>
      <c r="D25" s="14" t="s">
        <v>1877</v>
      </c>
    </row>
    <row r="26" spans="1:4" ht="18" customHeight="1">
      <c r="A26" s="9" t="s">
        <v>1878</v>
      </c>
      <c r="B26" s="9"/>
      <c r="C26" s="9"/>
      <c r="D26" s="9"/>
    </row>
    <row r="27" spans="1:4" ht="24" customHeight="1">
      <c r="A27" s="4" t="s">
        <v>1878</v>
      </c>
      <c r="B27" s="4" t="s">
        <v>1879</v>
      </c>
      <c r="C27" s="20" t="s">
        <v>1843</v>
      </c>
      <c r="D27" s="14" t="s">
        <v>1880</v>
      </c>
    </row>
    <row r="28" spans="1:4" ht="24" customHeight="1">
      <c r="A28" s="4" t="s">
        <v>1878</v>
      </c>
      <c r="B28" s="4" t="s">
        <v>1881</v>
      </c>
      <c r="C28" s="21" t="s">
        <v>1848</v>
      </c>
      <c r="D28" s="14" t="s">
        <v>1882</v>
      </c>
    </row>
    <row r="29" spans="1:4" ht="18" customHeight="1">
      <c r="A29" s="9" t="s">
        <v>1883</v>
      </c>
      <c r="B29" s="9"/>
      <c r="C29" s="9"/>
      <c r="D29" s="9"/>
    </row>
    <row r="30" spans="1:4" ht="24" customHeight="1">
      <c r="A30" s="4" t="s">
        <v>1883</v>
      </c>
      <c r="B30" s="4" t="s">
        <v>1884</v>
      </c>
      <c r="C30" s="20" t="s">
        <v>1843</v>
      </c>
      <c r="D30" s="14" t="s">
        <v>1885</v>
      </c>
    </row>
    <row r="31" spans="1:4" ht="24" customHeight="1">
      <c r="A31" s="4" t="s">
        <v>1883</v>
      </c>
      <c r="B31" s="4" t="s">
        <v>1886</v>
      </c>
      <c r="C31" s="21" t="s">
        <v>1848</v>
      </c>
      <c r="D31" s="14" t="s">
        <v>1887</v>
      </c>
    </row>
    <row r="32" spans="1:4" ht="18" customHeight="1">
      <c r="A32" s="9" t="s">
        <v>1286</v>
      </c>
      <c r="B32" s="9"/>
      <c r="C32" s="9"/>
      <c r="D32" s="9"/>
    </row>
    <row r="33" spans="1:4" ht="24" customHeight="1">
      <c r="A33" s="4" t="s">
        <v>1286</v>
      </c>
      <c r="B33" s="4" t="s">
        <v>1888</v>
      </c>
      <c r="C33" s="20" t="s">
        <v>1843</v>
      </c>
      <c r="D33" s="14" t="s">
        <v>1889</v>
      </c>
    </row>
    <row r="34" spans="1:4" ht="24" customHeight="1">
      <c r="A34" s="4" t="s">
        <v>1286</v>
      </c>
      <c r="B34" s="4" t="s">
        <v>1890</v>
      </c>
      <c r="C34" s="20" t="s">
        <v>1843</v>
      </c>
      <c r="D34" s="14" t="s">
        <v>1891</v>
      </c>
    </row>
    <row r="35" spans="1:4" ht="18" customHeight="1">
      <c r="A35" s="9" t="s">
        <v>1892</v>
      </c>
      <c r="B35" s="9"/>
      <c r="C35" s="9"/>
      <c r="D35" s="9"/>
    </row>
    <row r="36" spans="1:4" ht="24" customHeight="1">
      <c r="A36" s="4" t="s">
        <v>1892</v>
      </c>
      <c r="B36" s="4" t="s">
        <v>1893</v>
      </c>
      <c r="C36" s="20" t="s">
        <v>1843</v>
      </c>
      <c r="D36" s="14" t="s">
        <v>1894</v>
      </c>
    </row>
    <row r="37" spans="1:4" ht="24" customHeight="1">
      <c r="A37" s="4" t="s">
        <v>1892</v>
      </c>
      <c r="B37" s="4" t="s">
        <v>1895</v>
      </c>
      <c r="C37" s="21" t="s">
        <v>1848</v>
      </c>
      <c r="D37" s="14" t="s">
        <v>1896</v>
      </c>
    </row>
    <row r="38" spans="1:4" ht="18" customHeight="1">
      <c r="A38" s="9" t="s">
        <v>1290</v>
      </c>
      <c r="B38" s="9"/>
      <c r="C38" s="9"/>
      <c r="D38" s="9"/>
    </row>
    <row r="39" spans="1:4" ht="24" customHeight="1">
      <c r="A39" s="4" t="s">
        <v>1290</v>
      </c>
      <c r="B39" s="4" t="s">
        <v>1897</v>
      </c>
      <c r="C39" s="20" t="s">
        <v>1843</v>
      </c>
      <c r="D39" s="14" t="s">
        <v>1898</v>
      </c>
    </row>
    <row r="40" spans="1:4" ht="24" customHeight="1">
      <c r="A40" s="4" t="s">
        <v>1290</v>
      </c>
      <c r="B40" s="4" t="s">
        <v>1899</v>
      </c>
      <c r="C40" s="21" t="s">
        <v>1848</v>
      </c>
      <c r="D40" s="14" t="s">
        <v>1900</v>
      </c>
    </row>
    <row r="41" spans="1:4" ht="18" customHeight="1">
      <c r="A41" s="9" t="s">
        <v>1901</v>
      </c>
      <c r="B41" s="9"/>
      <c r="C41" s="9"/>
      <c r="D41" s="9"/>
    </row>
    <row r="42" spans="1:4" ht="24" customHeight="1">
      <c r="A42" s="4" t="s">
        <v>1901</v>
      </c>
      <c r="B42" s="4" t="s">
        <v>1902</v>
      </c>
      <c r="C42" s="20" t="s">
        <v>1843</v>
      </c>
      <c r="D42" s="14" t="s">
        <v>1903</v>
      </c>
    </row>
    <row r="43" spans="1:4" ht="24" customHeight="1">
      <c r="A43" s="4" t="s">
        <v>1901</v>
      </c>
      <c r="B43" s="4" t="s">
        <v>1904</v>
      </c>
      <c r="C43" s="21" t="s">
        <v>1848</v>
      </c>
      <c r="D43" s="14" t="s">
        <v>1905</v>
      </c>
    </row>
    <row r="44" spans="1:4" ht="18" customHeight="1">
      <c r="A44" s="9" t="s">
        <v>1906</v>
      </c>
      <c r="B44" s="9"/>
      <c r="C44" s="9"/>
      <c r="D44" s="9"/>
    </row>
    <row r="45" spans="1:4" ht="24" customHeight="1">
      <c r="A45" s="4" t="s">
        <v>1906</v>
      </c>
      <c r="B45" s="4" t="s">
        <v>1907</v>
      </c>
      <c r="C45" s="20" t="s">
        <v>1843</v>
      </c>
      <c r="D45" s="14" t="s">
        <v>1908</v>
      </c>
    </row>
    <row r="46" spans="1:4" ht="24" customHeight="1">
      <c r="A46" s="4" t="s">
        <v>1906</v>
      </c>
      <c r="B46" s="4" t="s">
        <v>1909</v>
      </c>
      <c r="C46" s="7" t="s">
        <v>1851</v>
      </c>
      <c r="D46" s="14" t="s">
        <v>1910</v>
      </c>
    </row>
    <row r="47" spans="1:4" ht="24" customHeight="1">
      <c r="A47" s="4" t="s">
        <v>1906</v>
      </c>
      <c r="B47" s="4" t="s">
        <v>1911</v>
      </c>
      <c r="C47" s="21" t="s">
        <v>1848</v>
      </c>
      <c r="D47" s="14" t="s">
        <v>1912</v>
      </c>
    </row>
    <row r="48" spans="1:4" ht="18" customHeight="1">
      <c r="A48" s="9" t="s">
        <v>1913</v>
      </c>
      <c r="B48" s="9"/>
      <c r="C48" s="9"/>
      <c r="D48" s="9"/>
    </row>
    <row r="49" spans="1:4" ht="24" customHeight="1">
      <c r="A49" s="4" t="s">
        <v>1913</v>
      </c>
      <c r="B49" s="4" t="s">
        <v>1914</v>
      </c>
      <c r="C49" s="20" t="s">
        <v>1843</v>
      </c>
      <c r="D49" s="14" t="s">
        <v>1915</v>
      </c>
    </row>
    <row r="50" spans="1:4" ht="24" customHeight="1">
      <c r="A50" s="4" t="s">
        <v>1913</v>
      </c>
      <c r="B50" s="4" t="s">
        <v>1916</v>
      </c>
      <c r="C50" s="21" t="s">
        <v>1848</v>
      </c>
      <c r="D50" s="14" t="s">
        <v>1917</v>
      </c>
    </row>
    <row r="51" spans="1:4" ht="24" customHeight="1">
      <c r="A51" s="4" t="s">
        <v>1913</v>
      </c>
      <c r="B51" s="4" t="s">
        <v>1918</v>
      </c>
      <c r="C51" s="20" t="s">
        <v>1843</v>
      </c>
      <c r="D51" s="14" t="s">
        <v>1919</v>
      </c>
    </row>
    <row r="52" spans="1:4" ht="18" customHeight="1">
      <c r="A52" s="9" t="s">
        <v>1920</v>
      </c>
      <c r="B52" s="9"/>
      <c r="C52" s="9"/>
      <c r="D52" s="9"/>
    </row>
    <row r="53" spans="1:4" ht="24" customHeight="1">
      <c r="A53" s="4" t="s">
        <v>1920</v>
      </c>
      <c r="B53" s="4" t="s">
        <v>1921</v>
      </c>
      <c r="C53" s="20" t="s">
        <v>1843</v>
      </c>
      <c r="D53" s="14" t="s">
        <v>1922</v>
      </c>
    </row>
    <row r="54" spans="1:4" ht="24" customHeight="1">
      <c r="A54" s="4" t="s">
        <v>1920</v>
      </c>
      <c r="B54" s="4" t="s">
        <v>1923</v>
      </c>
      <c r="C54" s="21" t="s">
        <v>1848</v>
      </c>
      <c r="D54" s="14" t="s">
        <v>1924</v>
      </c>
    </row>
    <row r="55" spans="1:4" ht="18" customHeight="1">
      <c r="A55" s="9" t="s">
        <v>1925</v>
      </c>
      <c r="B55" s="9"/>
      <c r="C55" s="9"/>
      <c r="D55" s="9"/>
    </row>
    <row r="56" spans="1:4" ht="24" customHeight="1">
      <c r="A56" s="4" t="s">
        <v>1925</v>
      </c>
      <c r="B56" s="4" t="s">
        <v>1926</v>
      </c>
      <c r="C56" s="21" t="s">
        <v>1848</v>
      </c>
      <c r="D56" s="14" t="s">
        <v>1927</v>
      </c>
    </row>
    <row r="57" spans="1:4" ht="24" customHeight="1">
      <c r="A57" s="4" t="s">
        <v>1925</v>
      </c>
      <c r="B57" s="4" t="s">
        <v>1928</v>
      </c>
      <c r="C57" s="21" t="s">
        <v>1848</v>
      </c>
      <c r="D57" s="14" t="s">
        <v>1929</v>
      </c>
    </row>
  </sheetData>
  <mergeCells count="19">
    <mergeCell ref="A1:D1"/>
    <mergeCell ref="A2:D2"/>
    <mergeCell ref="A3:D3"/>
    <mergeCell ref="A5:D5"/>
    <mergeCell ref="A10:D10"/>
    <mergeCell ref="A13:D13"/>
    <mergeCell ref="A16:D16"/>
    <mergeCell ref="A20:D20"/>
    <mergeCell ref="A23:D23"/>
    <mergeCell ref="A26:D26"/>
    <mergeCell ref="A29:D29"/>
    <mergeCell ref="A32:D32"/>
    <mergeCell ref="A35:D35"/>
    <mergeCell ref="A38:D38"/>
    <mergeCell ref="A41:D41"/>
    <mergeCell ref="A44:D44"/>
    <mergeCell ref="A48:D48"/>
    <mergeCell ref="A52:D52"/>
    <mergeCell ref="A55:D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8.7109375" customWidth="1"/>
    <col min="4" max="4" width="11.7109375" customWidth="1"/>
    <col min="5" max="7" width="14.7109375" customWidth="1"/>
    <col min="8" max="8" width="1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1930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628</v>
      </c>
      <c r="B4" s="6" t="s">
        <v>629</v>
      </c>
      <c r="C4" s="6" t="s">
        <v>630</v>
      </c>
      <c r="D4" s="6" t="s">
        <v>1931</v>
      </c>
      <c r="E4" s="6" t="s">
        <v>1932</v>
      </c>
      <c r="F4" s="6" t="s">
        <v>1933</v>
      </c>
      <c r="G4" s="6" t="s">
        <v>1934</v>
      </c>
      <c r="H4" s="6" t="s">
        <v>1935</v>
      </c>
    </row>
    <row r="5" spans="1:8" ht="24" customHeight="1">
      <c r="A5" s="7" t="s">
        <v>650</v>
      </c>
      <c r="B5" s="4" t="s">
        <v>651</v>
      </c>
      <c r="C5" s="7" t="s">
        <v>647</v>
      </c>
      <c r="D5" s="14" t="s">
        <v>1936</v>
      </c>
      <c r="E5" s="14" t="s">
        <v>1937</v>
      </c>
      <c r="F5" s="14" t="s">
        <v>1937</v>
      </c>
      <c r="G5" s="14" t="s">
        <v>1937</v>
      </c>
      <c r="H5" s="11">
        <v>25</v>
      </c>
    </row>
    <row r="6" spans="1:8" ht="24" customHeight="1">
      <c r="A6" s="7" t="s">
        <v>662</v>
      </c>
      <c r="B6" s="4" t="s">
        <v>1938</v>
      </c>
      <c r="C6" s="7" t="s">
        <v>647</v>
      </c>
      <c r="D6" s="14" t="s">
        <v>1936</v>
      </c>
      <c r="E6" s="14" t="s">
        <v>1937</v>
      </c>
      <c r="F6" s="14" t="s">
        <v>1937</v>
      </c>
      <c r="G6" s="14" t="s">
        <v>1937</v>
      </c>
      <c r="H6" s="11">
        <v>48</v>
      </c>
    </row>
    <row r="7" spans="1:8" ht="24" customHeight="1">
      <c r="A7" s="7" t="s">
        <v>722</v>
      </c>
      <c r="B7" s="4" t="s">
        <v>1939</v>
      </c>
      <c r="C7" s="7" t="s">
        <v>682</v>
      </c>
      <c r="D7" s="14" t="s">
        <v>1936</v>
      </c>
      <c r="E7" s="14" t="s">
        <v>1937</v>
      </c>
      <c r="F7" s="14" t="s">
        <v>1937</v>
      </c>
      <c r="G7" s="14" t="s">
        <v>1937</v>
      </c>
      <c r="H7" s="11">
        <v>18</v>
      </c>
    </row>
    <row r="8" spans="1:8" ht="24" customHeight="1">
      <c r="A8" s="7" t="s">
        <v>729</v>
      </c>
      <c r="B8" s="4" t="s">
        <v>1940</v>
      </c>
      <c r="C8" s="7" t="s">
        <v>682</v>
      </c>
      <c r="D8" s="14" t="s">
        <v>1936</v>
      </c>
      <c r="E8" s="14" t="s">
        <v>1937</v>
      </c>
      <c r="F8" s="14" t="s">
        <v>1937</v>
      </c>
      <c r="G8" s="14" t="s">
        <v>1937</v>
      </c>
      <c r="H8" s="11">
        <v>54</v>
      </c>
    </row>
    <row r="9" spans="1:8" ht="24" customHeight="1">
      <c r="A9" s="7" t="s">
        <v>745</v>
      </c>
      <c r="B9" s="4" t="s">
        <v>1941</v>
      </c>
      <c r="C9" s="7" t="s">
        <v>647</v>
      </c>
      <c r="D9" s="14" t="s">
        <v>1936</v>
      </c>
      <c r="E9" s="14" t="s">
        <v>1937</v>
      </c>
      <c r="F9" s="14" t="s">
        <v>1937</v>
      </c>
      <c r="G9" s="14" t="s">
        <v>1937</v>
      </c>
      <c r="H9" s="11">
        <v>27</v>
      </c>
    </row>
    <row r="10" spans="1:8" ht="24" customHeight="1">
      <c r="A10" s="7" t="s">
        <v>751</v>
      </c>
      <c r="B10" s="4" t="s">
        <v>1866</v>
      </c>
      <c r="C10" s="7" t="s">
        <v>682</v>
      </c>
      <c r="D10" s="14" t="s">
        <v>1936</v>
      </c>
      <c r="E10" s="14" t="s">
        <v>1937</v>
      </c>
      <c r="F10" s="14" t="s">
        <v>1937</v>
      </c>
      <c r="G10" s="14" t="s">
        <v>1937</v>
      </c>
      <c r="H10" s="11">
        <v>39</v>
      </c>
    </row>
    <row r="11" spans="1:8" ht="24" customHeight="1">
      <c r="A11" s="7" t="s">
        <v>776</v>
      </c>
      <c r="B11" s="4" t="s">
        <v>1942</v>
      </c>
      <c r="C11" s="7" t="s">
        <v>710</v>
      </c>
      <c r="D11" s="14" t="s">
        <v>1936</v>
      </c>
      <c r="E11" s="14" t="s">
        <v>1937</v>
      </c>
      <c r="F11" s="14" t="s">
        <v>1937</v>
      </c>
      <c r="G11" s="14" t="s">
        <v>1937</v>
      </c>
      <c r="H11" s="11">
        <v>1250</v>
      </c>
    </row>
    <row r="12" spans="1:8" ht="24" customHeight="1">
      <c r="A12" s="7" t="s">
        <v>806</v>
      </c>
      <c r="B12" s="4" t="s">
        <v>1943</v>
      </c>
      <c r="C12" s="7" t="s">
        <v>647</v>
      </c>
      <c r="D12" s="14" t="s">
        <v>1936</v>
      </c>
      <c r="E12" s="14" t="s">
        <v>1937</v>
      </c>
      <c r="F12" s="14" t="s">
        <v>1937</v>
      </c>
      <c r="G12" s="14" t="s">
        <v>1937</v>
      </c>
      <c r="H12" s="11">
        <v>2850</v>
      </c>
    </row>
    <row r="13" spans="1:8" ht="24" customHeight="1">
      <c r="A13" s="7" t="s">
        <v>815</v>
      </c>
      <c r="B13" s="4" t="s">
        <v>1944</v>
      </c>
      <c r="C13" s="7" t="s">
        <v>817</v>
      </c>
      <c r="D13" s="14" t="s">
        <v>1936</v>
      </c>
      <c r="E13" s="14" t="s">
        <v>1937</v>
      </c>
      <c r="F13" s="14" t="s">
        <v>1937</v>
      </c>
      <c r="G13" s="14" t="s">
        <v>1937</v>
      </c>
      <c r="H13" s="11">
        <v>5000</v>
      </c>
    </row>
    <row r="14" spans="1:8" ht="24" customHeight="1">
      <c r="A14" s="7" t="s">
        <v>854</v>
      </c>
      <c r="B14" s="4" t="s">
        <v>1945</v>
      </c>
      <c r="C14" s="7" t="s">
        <v>647</v>
      </c>
      <c r="D14" s="14" t="s">
        <v>1936</v>
      </c>
      <c r="E14" s="14" t="s">
        <v>1937</v>
      </c>
      <c r="F14" s="14" t="s">
        <v>1937</v>
      </c>
      <c r="G14" s="14" t="s">
        <v>1937</v>
      </c>
      <c r="H14" s="11">
        <v>65</v>
      </c>
    </row>
    <row r="15" spans="1:8" ht="24" customHeight="1">
      <c r="A15" s="7" t="s">
        <v>912</v>
      </c>
      <c r="B15" s="4" t="s">
        <v>1946</v>
      </c>
      <c r="C15" s="7" t="s">
        <v>710</v>
      </c>
      <c r="D15" s="14" t="s">
        <v>1936</v>
      </c>
      <c r="E15" s="14" t="s">
        <v>1937</v>
      </c>
      <c r="F15" s="14" t="s">
        <v>1937</v>
      </c>
      <c r="G15" s="14" t="s">
        <v>1937</v>
      </c>
      <c r="H15" s="11">
        <v>213</v>
      </c>
    </row>
    <row r="16" spans="1:8" ht="24" customHeight="1">
      <c r="A16" s="7" t="s">
        <v>942</v>
      </c>
      <c r="B16" s="4" t="s">
        <v>1947</v>
      </c>
      <c r="C16" s="7" t="s">
        <v>710</v>
      </c>
      <c r="D16" s="14" t="s">
        <v>1936</v>
      </c>
      <c r="E16" s="14" t="s">
        <v>1937</v>
      </c>
      <c r="F16" s="14" t="s">
        <v>1937</v>
      </c>
      <c r="G16" s="14" t="s">
        <v>1937</v>
      </c>
      <c r="H16" s="11">
        <v>8500</v>
      </c>
    </row>
    <row r="18" spans="1:8">
      <c r="A18" s="13" t="s">
        <v>1948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2.7109375" customWidth="1"/>
    <col min="3" max="3" width="14.7109375" customWidth="1"/>
    <col min="4" max="4" width="22.7109375" customWidth="1"/>
    <col min="5" max="5" width="36.7109375" customWidth="1"/>
    <col min="6" max="6" width="6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1949</v>
      </c>
      <c r="B3" s="5"/>
      <c r="C3" s="5"/>
      <c r="D3" s="5"/>
      <c r="E3" s="5"/>
      <c r="F3" s="5"/>
    </row>
    <row r="4" spans="1:6" ht="32" customHeight="1">
      <c r="A4" s="6" t="s">
        <v>1950</v>
      </c>
      <c r="B4" s="6" t="s">
        <v>1951</v>
      </c>
      <c r="C4" s="6" t="s">
        <v>1952</v>
      </c>
      <c r="D4" s="6" t="s">
        <v>1953</v>
      </c>
      <c r="E4" s="6" t="s">
        <v>1954</v>
      </c>
      <c r="F4" s="6" t="s">
        <v>335</v>
      </c>
    </row>
    <row r="5" spans="1:6" ht="40" customHeight="1">
      <c r="A5" s="3" t="s">
        <v>1955</v>
      </c>
      <c r="B5" s="14" t="s">
        <v>1956</v>
      </c>
      <c r="C5" s="14" t="s">
        <v>1957</v>
      </c>
      <c r="D5" s="14" t="s">
        <v>648</v>
      </c>
      <c r="E5" s="14" t="s">
        <v>200</v>
      </c>
      <c r="F5" s="4" t="s">
        <v>1958</v>
      </c>
    </row>
    <row r="6" spans="1:6" ht="40" customHeight="1">
      <c r="A6" s="3" t="s">
        <v>1959</v>
      </c>
      <c r="B6" s="14" t="s">
        <v>1960</v>
      </c>
      <c r="C6" s="14" t="s">
        <v>1961</v>
      </c>
      <c r="D6" s="14" t="s">
        <v>198</v>
      </c>
      <c r="E6" s="14" t="s">
        <v>194</v>
      </c>
      <c r="F6" s="4" t="s">
        <v>1962</v>
      </c>
    </row>
    <row r="7" spans="1:6" ht="40" customHeight="1">
      <c r="A7" s="3" t="s">
        <v>1963</v>
      </c>
      <c r="B7" s="14" t="s">
        <v>1964</v>
      </c>
      <c r="C7" s="14" t="s">
        <v>1965</v>
      </c>
      <c r="D7" s="14" t="s">
        <v>194</v>
      </c>
      <c r="E7" s="14" t="s">
        <v>256</v>
      </c>
      <c r="F7" s="4" t="s">
        <v>1966</v>
      </c>
    </row>
    <row r="8" spans="1:6" ht="40" customHeight="1">
      <c r="A8" s="3" t="s">
        <v>1967</v>
      </c>
      <c r="B8" s="14" t="s">
        <v>1968</v>
      </c>
      <c r="C8" s="14" t="s">
        <v>1969</v>
      </c>
      <c r="D8" s="14" t="s">
        <v>200</v>
      </c>
      <c r="E8" s="14" t="s">
        <v>198</v>
      </c>
      <c r="F8" s="4" t="s">
        <v>1970</v>
      </c>
    </row>
    <row r="9" spans="1:6" ht="40" customHeight="1">
      <c r="A9" s="3" t="s">
        <v>1971</v>
      </c>
      <c r="B9" s="14" t="s">
        <v>1972</v>
      </c>
      <c r="C9" s="14" t="s">
        <v>1973</v>
      </c>
      <c r="D9" s="14" t="s">
        <v>198</v>
      </c>
      <c r="E9" s="14" t="s">
        <v>194</v>
      </c>
      <c r="F9" s="4" t="s">
        <v>1974</v>
      </c>
    </row>
    <row r="11" spans="1:6" ht="22" customHeight="1">
      <c r="A11" s="5" t="s">
        <v>1975</v>
      </c>
      <c r="B11" s="5"/>
      <c r="C11" s="5"/>
      <c r="D11" s="5"/>
      <c r="E11" s="5"/>
      <c r="F11" s="5"/>
    </row>
    <row r="12" spans="1:6" ht="32" customHeight="1">
      <c r="A12" s="6" t="s">
        <v>1596</v>
      </c>
      <c r="B12" s="6" t="s">
        <v>1976</v>
      </c>
      <c r="C12" s="6" t="s">
        <v>1601</v>
      </c>
      <c r="D12" s="6" t="s">
        <v>1977</v>
      </c>
      <c r="E12" s="6" t="s">
        <v>191</v>
      </c>
      <c r="F12" s="6"/>
    </row>
    <row r="13" spans="1:6" ht="24" customHeight="1">
      <c r="A13" s="3" t="s">
        <v>1978</v>
      </c>
      <c r="B13" s="14" t="s">
        <v>1979</v>
      </c>
      <c r="C13" s="14" t="s">
        <v>1473</v>
      </c>
      <c r="D13" s="14" t="s">
        <v>1980</v>
      </c>
      <c r="E13" s="14" t="s">
        <v>1981</v>
      </c>
    </row>
    <row r="14" spans="1:6" ht="24" customHeight="1">
      <c r="A14" s="3" t="s">
        <v>1982</v>
      </c>
      <c r="B14" s="14" t="s">
        <v>1983</v>
      </c>
      <c r="C14" s="14" t="s">
        <v>1729</v>
      </c>
      <c r="D14" s="14" t="s">
        <v>1984</v>
      </c>
      <c r="E14" s="14" t="s">
        <v>1985</v>
      </c>
    </row>
    <row r="15" spans="1:6" ht="24" customHeight="1">
      <c r="A15" s="3" t="s">
        <v>1986</v>
      </c>
      <c r="B15" s="14" t="s">
        <v>1987</v>
      </c>
      <c r="C15" s="14" t="s">
        <v>1608</v>
      </c>
      <c r="D15" s="14" t="s">
        <v>1988</v>
      </c>
      <c r="E15" s="14" t="s">
        <v>1989</v>
      </c>
    </row>
    <row r="16" spans="1:6" ht="24" customHeight="1">
      <c r="A16" s="3" t="s">
        <v>1990</v>
      </c>
      <c r="B16" s="14" t="s">
        <v>1991</v>
      </c>
      <c r="C16" s="14" t="s">
        <v>1610</v>
      </c>
      <c r="D16" s="14" t="s">
        <v>1992</v>
      </c>
      <c r="E16" s="14" t="s">
        <v>1993</v>
      </c>
    </row>
    <row r="17" spans="1:6" ht="24" customHeight="1">
      <c r="A17" s="3" t="s">
        <v>1994</v>
      </c>
      <c r="B17" s="14" t="s">
        <v>1995</v>
      </c>
      <c r="C17" s="14" t="s">
        <v>1996</v>
      </c>
      <c r="D17" s="14" t="s">
        <v>1997</v>
      </c>
      <c r="E17" s="14" t="s">
        <v>1998</v>
      </c>
    </row>
    <row r="18" spans="1:6" ht="24" customHeight="1">
      <c r="A18" s="3" t="s">
        <v>1999</v>
      </c>
      <c r="B18" s="14" t="s">
        <v>2000</v>
      </c>
      <c r="C18" s="14" t="s">
        <v>1608</v>
      </c>
      <c r="D18" s="14" t="s">
        <v>2001</v>
      </c>
      <c r="E18" s="14" t="s">
        <v>2002</v>
      </c>
    </row>
    <row r="20" spans="1:6">
      <c r="A20" s="13" t="s">
        <v>2003</v>
      </c>
      <c r="B20" s="13"/>
      <c r="C20" s="13"/>
      <c r="D20" s="13"/>
      <c r="E20" s="13"/>
      <c r="F20" s="13"/>
    </row>
  </sheetData>
  <mergeCells count="5">
    <mergeCell ref="A1:F1"/>
    <mergeCell ref="A2:F2"/>
    <mergeCell ref="A3:F3"/>
    <mergeCell ref="A11:F11"/>
    <mergeCell ref="A20:F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2004</v>
      </c>
      <c r="B3" s="5"/>
      <c r="C3" s="5"/>
      <c r="D3" s="5"/>
    </row>
    <row r="4" spans="1:4" ht="32" customHeight="1">
      <c r="A4" s="6" t="s">
        <v>1596</v>
      </c>
      <c r="B4" s="6" t="s">
        <v>228</v>
      </c>
      <c r="C4" s="6" t="s">
        <v>2005</v>
      </c>
      <c r="D4" s="6" t="s">
        <v>2006</v>
      </c>
    </row>
    <row r="5" spans="1:4" ht="20" customHeight="1">
      <c r="A5" s="5" t="s">
        <v>1602</v>
      </c>
      <c r="B5" s="5"/>
      <c r="C5" s="5"/>
      <c r="D5" s="5"/>
    </row>
    <row r="6" spans="1:4" ht="22" customHeight="1">
      <c r="A6" s="7" t="s">
        <v>2007</v>
      </c>
      <c r="B6" s="4" t="s">
        <v>2008</v>
      </c>
      <c r="C6" s="18">
        <v>0</v>
      </c>
      <c r="D6" s="4" t="s">
        <v>2009</v>
      </c>
    </row>
    <row r="7" spans="1:4" ht="22" customHeight="1">
      <c r="A7" s="7" t="s">
        <v>2010</v>
      </c>
      <c r="B7" s="4" t="s">
        <v>2011</v>
      </c>
      <c r="C7" s="18">
        <v>0</v>
      </c>
      <c r="D7" s="4" t="s">
        <v>2012</v>
      </c>
    </row>
    <row r="8" spans="1:4" ht="22" customHeight="1">
      <c r="A8" s="7" t="s">
        <v>2013</v>
      </c>
      <c r="B8" s="4" t="s">
        <v>2014</v>
      </c>
      <c r="C8" s="18">
        <v>0</v>
      </c>
      <c r="D8" s="4" t="s">
        <v>2015</v>
      </c>
    </row>
    <row r="9" spans="1:4" ht="22" customHeight="1">
      <c r="A9" s="7" t="s">
        <v>2016</v>
      </c>
      <c r="B9" s="4" t="s">
        <v>2017</v>
      </c>
      <c r="C9" s="18">
        <v>0</v>
      </c>
      <c r="D9" s="4" t="s">
        <v>2018</v>
      </c>
    </row>
    <row r="10" spans="1:4" ht="22" customHeight="1">
      <c r="A10" s="7" t="s">
        <v>2019</v>
      </c>
      <c r="B10" s="4" t="s">
        <v>2020</v>
      </c>
      <c r="C10" s="18">
        <v>0</v>
      </c>
      <c r="D10" s="4" t="s">
        <v>2021</v>
      </c>
    </row>
    <row r="11" spans="1:4" ht="22" customHeight="1">
      <c r="A11" s="7" t="s">
        <v>2022</v>
      </c>
      <c r="B11" s="4" t="s">
        <v>2023</v>
      </c>
      <c r="C11" s="18">
        <v>0</v>
      </c>
      <c r="D11" s="4" t="s">
        <v>2024</v>
      </c>
    </row>
    <row r="12" spans="1:4" ht="22" customHeight="1">
      <c r="A12" s="7" t="s">
        <v>2025</v>
      </c>
      <c r="B12" s="4" t="s">
        <v>2026</v>
      </c>
      <c r="C12" s="18">
        <v>0</v>
      </c>
      <c r="D12" s="4" t="s">
        <v>2027</v>
      </c>
    </row>
    <row r="13" spans="1:4" ht="22" customHeight="1">
      <c r="A13" s="7" t="s">
        <v>2028</v>
      </c>
      <c r="B13" s="4" t="s">
        <v>2029</v>
      </c>
      <c r="C13" s="18">
        <v>0</v>
      </c>
      <c r="D13" s="4" t="s">
        <v>2030</v>
      </c>
    </row>
    <row r="14" spans="1:4" ht="22" customHeight="1">
      <c r="A14" s="7" t="s">
        <v>2031</v>
      </c>
      <c r="B14" s="4" t="s">
        <v>2032</v>
      </c>
      <c r="C14" s="18">
        <v>0</v>
      </c>
      <c r="D14" s="4" t="s">
        <v>2033</v>
      </c>
    </row>
    <row r="15" spans="1:4" ht="22" customHeight="1">
      <c r="A15" s="7" t="s">
        <v>1544</v>
      </c>
      <c r="B15" s="4" t="s">
        <v>2034</v>
      </c>
      <c r="C15" s="18">
        <v>0</v>
      </c>
      <c r="D15" s="4" t="s">
        <v>2035</v>
      </c>
    </row>
    <row r="16" spans="1:4" ht="22" customHeight="1">
      <c r="A16" s="7" t="s">
        <v>2036</v>
      </c>
      <c r="B16" s="4" t="s">
        <v>2037</v>
      </c>
      <c r="C16" s="18">
        <v>0</v>
      </c>
      <c r="D16" s="4" t="s">
        <v>2038</v>
      </c>
    </row>
    <row r="17" spans="1:4" ht="22" customHeight="1">
      <c r="A17" s="7" t="s">
        <v>1548</v>
      </c>
      <c r="B17" s="4" t="s">
        <v>2039</v>
      </c>
      <c r="C17" s="18">
        <v>0</v>
      </c>
      <c r="D17" s="4" t="s">
        <v>2040</v>
      </c>
    </row>
    <row r="18" spans="1:4" ht="22" customHeight="1">
      <c r="A18" s="7" t="s">
        <v>2041</v>
      </c>
      <c r="B18" s="4" t="s">
        <v>2042</v>
      </c>
      <c r="C18" s="18">
        <v>0</v>
      </c>
      <c r="D18" s="4" t="s">
        <v>2043</v>
      </c>
    </row>
    <row r="19" spans="1:4" ht="22" customHeight="1">
      <c r="A19" s="7"/>
      <c r="B19" s="3" t="s">
        <v>2044</v>
      </c>
      <c r="C19" s="19">
        <f>SUM(C6:C18)</f>
        <v>0</v>
      </c>
      <c r="D19" s="4"/>
    </row>
    <row r="20" spans="1:4" ht="20" customHeight="1">
      <c r="A20" s="5" t="s">
        <v>1637</v>
      </c>
      <c r="B20" s="5"/>
      <c r="C20" s="5"/>
      <c r="D20" s="5"/>
    </row>
    <row r="21" spans="1:4" ht="22" customHeight="1">
      <c r="A21" s="7" t="s">
        <v>2045</v>
      </c>
      <c r="B21" s="4" t="s">
        <v>2046</v>
      </c>
      <c r="C21" s="18">
        <v>0.15</v>
      </c>
      <c r="D21" s="4" t="s">
        <v>2047</v>
      </c>
    </row>
    <row r="22" spans="1:4" ht="22" customHeight="1">
      <c r="A22" s="7"/>
      <c r="B22" s="3" t="s">
        <v>2048</v>
      </c>
      <c r="C22" s="19">
        <f>C19*C21</f>
        <v>0</v>
      </c>
      <c r="D22" s="4" t="s">
        <v>2049</v>
      </c>
    </row>
    <row r="23" spans="1:4" ht="20" customHeight="1">
      <c r="A23" s="5" t="s">
        <v>1674</v>
      </c>
      <c r="B23" s="5"/>
      <c r="C23" s="5"/>
      <c r="D23" s="5"/>
    </row>
    <row r="24" spans="1:4" ht="22" customHeight="1">
      <c r="A24" s="7" t="s">
        <v>2050</v>
      </c>
      <c r="B24" s="4" t="s">
        <v>2051</v>
      </c>
      <c r="C24" s="18">
        <v>0.08</v>
      </c>
      <c r="D24" s="4" t="s">
        <v>2052</v>
      </c>
    </row>
    <row r="25" spans="1:4" ht="22" customHeight="1">
      <c r="A25" s="7"/>
      <c r="B25" s="3" t="s">
        <v>2053</v>
      </c>
      <c r="C25" s="19">
        <f>C19*C24</f>
        <v>0</v>
      </c>
      <c r="D25" s="4" t="s">
        <v>2054</v>
      </c>
    </row>
    <row r="26" spans="1:4" ht="20" customHeight="1">
      <c r="A26" s="5" t="s">
        <v>1685</v>
      </c>
      <c r="B26" s="5"/>
      <c r="C26" s="5"/>
      <c r="D26" s="5"/>
    </row>
    <row r="27" spans="1:4" ht="22" customHeight="1">
      <c r="A27" s="7" t="s">
        <v>2055</v>
      </c>
      <c r="B27" s="4" t="s">
        <v>2056</v>
      </c>
      <c r="C27" s="18">
        <v>0.03</v>
      </c>
      <c r="D27" s="4" t="s">
        <v>2057</v>
      </c>
    </row>
    <row r="28" spans="1:4" ht="22" customHeight="1">
      <c r="A28" s="7"/>
      <c r="B28" s="3" t="s">
        <v>2058</v>
      </c>
      <c r="C28" s="19">
        <f>(C19+C22+C25)*C27</f>
        <v>0</v>
      </c>
      <c r="D28" s="4" t="s">
        <v>2059</v>
      </c>
    </row>
    <row r="29" spans="1:4" ht="20" customHeight="1">
      <c r="A29" s="5" t="s">
        <v>1703</v>
      </c>
      <c r="B29" s="5"/>
      <c r="C29" s="5"/>
      <c r="D29" s="5"/>
    </row>
    <row r="30" spans="1:4" ht="22" customHeight="1">
      <c r="A30" s="7" t="s">
        <v>2060</v>
      </c>
      <c r="B30" s="4" t="s">
        <v>2061</v>
      </c>
      <c r="C30" s="18">
        <v>0.12</v>
      </c>
      <c r="D30" s="4" t="s">
        <v>2062</v>
      </c>
    </row>
    <row r="31" spans="1:4" ht="22" customHeight="1">
      <c r="A31" s="7"/>
      <c r="B31" s="3" t="s">
        <v>2063</v>
      </c>
      <c r="C31" s="19">
        <f>C19*C30</f>
        <v>0</v>
      </c>
      <c r="D31" s="4" t="s">
        <v>2064</v>
      </c>
    </row>
    <row r="32" spans="1:4" ht="20" customHeight="1">
      <c r="A32" s="5" t="s">
        <v>1723</v>
      </c>
      <c r="B32" s="5"/>
      <c r="C32" s="5"/>
      <c r="D32" s="5"/>
    </row>
    <row r="33" spans="1:4" ht="22" customHeight="1">
      <c r="A33" s="7" t="s">
        <v>2065</v>
      </c>
      <c r="B33" s="4" t="s">
        <v>2066</v>
      </c>
      <c r="C33" s="18">
        <v>0.1</v>
      </c>
      <c r="D33" s="4" t="s">
        <v>2062</v>
      </c>
    </row>
    <row r="34" spans="1:4" ht="22" customHeight="1">
      <c r="A34" s="7"/>
      <c r="B34" s="3" t="s">
        <v>2067</v>
      </c>
      <c r="C34" s="19">
        <f>(C19+C22+C25+C28+C31)*C33</f>
        <v>0</v>
      </c>
      <c r="D34" s="4" t="s">
        <v>2068</v>
      </c>
    </row>
    <row r="36" spans="1:4" ht="26" customHeight="1">
      <c r="A36" s="5" t="s">
        <v>2069</v>
      </c>
      <c r="B36" s="5"/>
      <c r="C36" s="19">
        <f>C19+C22+C25+C28+C31+C34</f>
        <v>0</v>
      </c>
      <c r="D36" s="3" t="s">
        <v>2070</v>
      </c>
    </row>
    <row r="38" spans="1:4">
      <c r="A38" s="13" t="s">
        <v>2071</v>
      </c>
      <c r="B38" s="13"/>
      <c r="C38" s="13"/>
      <c r="D38" s="13"/>
    </row>
  </sheetData>
  <mergeCells count="11">
    <mergeCell ref="A1:D1"/>
    <mergeCell ref="A2:D2"/>
    <mergeCell ref="A3:D3"/>
    <mergeCell ref="A5:D5"/>
    <mergeCell ref="A20:D20"/>
    <mergeCell ref="A23:D23"/>
    <mergeCell ref="A26:D26"/>
    <mergeCell ref="A29:D29"/>
    <mergeCell ref="A32:D32"/>
    <mergeCell ref="A36:B36"/>
    <mergeCell ref="A38:D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50.7109375" customWidth="1"/>
    <col min="4" max="5" width="12.7109375" customWidth="1"/>
    <col min="6" max="6" width="16.7109375" customWidth="1"/>
    <col min="7" max="7" width="14.7109375" customWidth="1"/>
    <col min="8" max="8" width="50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2072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2073</v>
      </c>
      <c r="B4" s="6" t="s">
        <v>1245</v>
      </c>
      <c r="C4" s="6" t="s">
        <v>2074</v>
      </c>
      <c r="D4" s="6" t="s">
        <v>2075</v>
      </c>
      <c r="E4" s="6" t="s">
        <v>2076</v>
      </c>
      <c r="F4" s="6" t="s">
        <v>2077</v>
      </c>
      <c r="G4" s="6" t="s">
        <v>2078</v>
      </c>
      <c r="H4" s="6" t="s">
        <v>2079</v>
      </c>
    </row>
    <row r="5" spans="1:8" ht="30" customHeight="1">
      <c r="A5" s="3" t="s">
        <v>2080</v>
      </c>
      <c r="B5" s="4" t="s">
        <v>2081</v>
      </c>
      <c r="C5" s="4" t="s">
        <v>2082</v>
      </c>
      <c r="D5" s="7">
        <v>4</v>
      </c>
      <c r="E5" s="7">
        <v>4</v>
      </c>
      <c r="F5" s="11">
        <v>750000</v>
      </c>
      <c r="G5" s="7">
        <v>4</v>
      </c>
      <c r="H5" s="14" t="s">
        <v>2083</v>
      </c>
    </row>
    <row r="6" spans="1:8" ht="30" customHeight="1">
      <c r="A6" s="3" t="s">
        <v>2084</v>
      </c>
      <c r="B6" s="4" t="s">
        <v>2081</v>
      </c>
      <c r="C6" s="4" t="s">
        <v>2085</v>
      </c>
      <c r="D6" s="7">
        <v>3</v>
      </c>
      <c r="E6" s="7">
        <v>5</v>
      </c>
      <c r="F6" s="11">
        <v>1200000</v>
      </c>
      <c r="G6" s="7">
        <v>6</v>
      </c>
      <c r="H6" s="14" t="s">
        <v>2086</v>
      </c>
    </row>
    <row r="7" spans="1:8" ht="30" customHeight="1">
      <c r="A7" s="3" t="s">
        <v>2087</v>
      </c>
      <c r="B7" s="4" t="s">
        <v>2088</v>
      </c>
      <c r="C7" s="4" t="s">
        <v>2089</v>
      </c>
      <c r="D7" s="7">
        <v>4</v>
      </c>
      <c r="E7" s="7">
        <v>3</v>
      </c>
      <c r="F7" s="11">
        <v>350000</v>
      </c>
      <c r="G7" s="7">
        <v>3</v>
      </c>
      <c r="H7" s="14" t="s">
        <v>2090</v>
      </c>
    </row>
    <row r="8" spans="1:8" ht="30" customHeight="1">
      <c r="A8" s="3" t="s">
        <v>2091</v>
      </c>
      <c r="B8" s="4" t="s">
        <v>2092</v>
      </c>
      <c r="C8" s="4" t="s">
        <v>2093</v>
      </c>
      <c r="D8" s="7">
        <v>3</v>
      </c>
      <c r="E8" s="7">
        <v>3</v>
      </c>
      <c r="F8" s="11">
        <v>280000</v>
      </c>
      <c r="G8" s="7">
        <v>0</v>
      </c>
      <c r="H8" s="14" t="s">
        <v>2094</v>
      </c>
    </row>
    <row r="9" spans="1:8" ht="30" customHeight="1">
      <c r="A9" s="3" t="s">
        <v>2095</v>
      </c>
      <c r="B9" s="4" t="s">
        <v>2096</v>
      </c>
      <c r="C9" s="4" t="s">
        <v>2097</v>
      </c>
      <c r="D9" s="7">
        <v>3</v>
      </c>
      <c r="E9" s="7">
        <v>3</v>
      </c>
      <c r="F9" s="11">
        <v>420000</v>
      </c>
      <c r="G9" s="7">
        <v>0</v>
      </c>
      <c r="H9" s="14" t="s">
        <v>2098</v>
      </c>
    </row>
    <row r="10" spans="1:8" ht="30" customHeight="1">
      <c r="A10" s="3" t="s">
        <v>2099</v>
      </c>
      <c r="B10" s="4" t="s">
        <v>2100</v>
      </c>
      <c r="C10" s="4" t="s">
        <v>2101</v>
      </c>
      <c r="D10" s="7">
        <v>2</v>
      </c>
      <c r="E10" s="7">
        <v>4</v>
      </c>
      <c r="F10" s="11">
        <v>600000</v>
      </c>
      <c r="G10" s="7">
        <v>4</v>
      </c>
      <c r="H10" s="14" t="s">
        <v>2102</v>
      </c>
    </row>
    <row r="11" spans="1:8" ht="30" customHeight="1">
      <c r="A11" s="3" t="s">
        <v>2103</v>
      </c>
      <c r="B11" s="4" t="s">
        <v>2104</v>
      </c>
      <c r="C11" s="4" t="s">
        <v>2105</v>
      </c>
      <c r="D11" s="7">
        <v>3</v>
      </c>
      <c r="E11" s="7">
        <v>4</v>
      </c>
      <c r="F11" s="11">
        <v>400000</v>
      </c>
      <c r="G11" s="7">
        <v>6</v>
      </c>
      <c r="H11" s="14" t="s">
        <v>2106</v>
      </c>
    </row>
    <row r="12" spans="1:8" ht="30" customHeight="1">
      <c r="A12" s="3" t="s">
        <v>2107</v>
      </c>
      <c r="B12" s="4" t="s">
        <v>2108</v>
      </c>
      <c r="C12" s="4" t="s">
        <v>2109</v>
      </c>
      <c r="D12" s="7">
        <v>4</v>
      </c>
      <c r="E12" s="7">
        <v>3</v>
      </c>
      <c r="F12" s="11">
        <v>250000</v>
      </c>
      <c r="G12" s="7">
        <v>4</v>
      </c>
      <c r="H12" s="14" t="s">
        <v>2110</v>
      </c>
    </row>
    <row r="13" spans="1:8" ht="30" customHeight="1">
      <c r="A13" s="3" t="s">
        <v>2111</v>
      </c>
      <c r="B13" s="4" t="s">
        <v>2112</v>
      </c>
      <c r="C13" s="4" t="s">
        <v>2113</v>
      </c>
      <c r="D13" s="7">
        <v>3</v>
      </c>
      <c r="E13" s="7">
        <v>4</v>
      </c>
      <c r="F13" s="11">
        <v>350000</v>
      </c>
      <c r="G13" s="7">
        <v>6</v>
      </c>
      <c r="H13" s="14" t="s">
        <v>2114</v>
      </c>
    </row>
    <row r="14" spans="1:8" ht="30" customHeight="1">
      <c r="A14" s="3" t="s">
        <v>2115</v>
      </c>
      <c r="B14" s="4" t="s">
        <v>2116</v>
      </c>
      <c r="C14" s="4" t="s">
        <v>2117</v>
      </c>
      <c r="D14" s="7">
        <v>3</v>
      </c>
      <c r="E14" s="7">
        <v>4</v>
      </c>
      <c r="F14" s="11">
        <v>500000</v>
      </c>
      <c r="G14" s="7">
        <v>6</v>
      </c>
      <c r="H14" s="14" t="s">
        <v>2118</v>
      </c>
    </row>
    <row r="15" spans="1:8" ht="30" customHeight="1">
      <c r="A15" s="3" t="s">
        <v>2119</v>
      </c>
      <c r="B15" s="4" t="s">
        <v>2120</v>
      </c>
      <c r="C15" s="4" t="s">
        <v>2121</v>
      </c>
      <c r="D15" s="7">
        <v>2</v>
      </c>
      <c r="E15" s="7">
        <v>3</v>
      </c>
      <c r="F15" s="11">
        <v>180000</v>
      </c>
      <c r="G15" s="7">
        <v>2</v>
      </c>
      <c r="H15" s="14" t="s">
        <v>2122</v>
      </c>
    </row>
    <row r="16" spans="1:8" ht="30" customHeight="1">
      <c r="A16" s="3" t="s">
        <v>2123</v>
      </c>
      <c r="B16" s="4" t="s">
        <v>398</v>
      </c>
      <c r="C16" s="4" t="s">
        <v>2124</v>
      </c>
      <c r="D16" s="7">
        <v>1</v>
      </c>
      <c r="E16" s="7">
        <v>5</v>
      </c>
      <c r="F16" s="11">
        <v>1500000</v>
      </c>
      <c r="G16" s="7">
        <v>8</v>
      </c>
      <c r="H16" s="14" t="s">
        <v>2125</v>
      </c>
    </row>
    <row r="18" spans="1:8">
      <c r="A18" s="13" t="s">
        <v>2126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3" spans="1:2" ht="22" customHeight="1">
      <c r="A3" s="5" t="s">
        <v>2127</v>
      </c>
      <c r="B3" s="5"/>
    </row>
    <row r="4" spans="1:2" ht="32" customHeight="1">
      <c r="A4" s="6" t="s">
        <v>2128</v>
      </c>
      <c r="B4" s="6" t="s">
        <v>2129</v>
      </c>
    </row>
    <row r="5" spans="1:2" ht="22" customHeight="1">
      <c r="A5" s="3" t="s">
        <v>2130</v>
      </c>
      <c r="B5" s="4" t="s">
        <v>2131</v>
      </c>
    </row>
    <row r="6" spans="1:2" ht="22" customHeight="1">
      <c r="A6" s="3" t="s">
        <v>2132</v>
      </c>
      <c r="B6" s="4" t="s">
        <v>2133</v>
      </c>
    </row>
    <row r="7" spans="1:2" ht="22" customHeight="1">
      <c r="A7" s="3" t="s">
        <v>2134</v>
      </c>
      <c r="B7" s="4" t="s">
        <v>2135</v>
      </c>
    </row>
    <row r="8" spans="1:2" ht="22" customHeight="1">
      <c r="A8" s="3" t="s">
        <v>2136</v>
      </c>
      <c r="B8" s="4" t="s">
        <v>2137</v>
      </c>
    </row>
    <row r="9" spans="1:2" ht="22" customHeight="1">
      <c r="A9" s="3" t="s">
        <v>2138</v>
      </c>
      <c r="B9" s="4" t="s">
        <v>2139</v>
      </c>
    </row>
    <row r="10" spans="1:2" ht="22" customHeight="1">
      <c r="A10" s="3" t="s">
        <v>2140</v>
      </c>
      <c r="B10" s="4" t="s">
        <v>2141</v>
      </c>
    </row>
    <row r="11" spans="1:2" ht="22" customHeight="1">
      <c r="A11" s="3" t="s">
        <v>2142</v>
      </c>
      <c r="B11" s="4" t="s">
        <v>2143</v>
      </c>
    </row>
    <row r="12" spans="1:2" ht="22" customHeight="1">
      <c r="A12" s="3" t="s">
        <v>2144</v>
      </c>
      <c r="B12" s="4" t="s">
        <v>2145</v>
      </c>
    </row>
    <row r="13" spans="1:2" ht="22" customHeight="1">
      <c r="A13" s="3" t="s">
        <v>2146</v>
      </c>
      <c r="B13" s="4" t="s">
        <v>2147</v>
      </c>
    </row>
    <row r="14" spans="1:2" ht="22" customHeight="1">
      <c r="A14" s="3" t="s">
        <v>2148</v>
      </c>
      <c r="B14" s="4" t="s">
        <v>2149</v>
      </c>
    </row>
    <row r="15" spans="1:2" ht="22" customHeight="1">
      <c r="A15" s="3" t="s">
        <v>2150</v>
      </c>
      <c r="B15" s="4" t="s">
        <v>2151</v>
      </c>
    </row>
    <row r="16" spans="1:2" ht="22" customHeight="1">
      <c r="A16" s="3" t="s">
        <v>2152</v>
      </c>
      <c r="B16" s="4" t="s">
        <v>2153</v>
      </c>
    </row>
    <row r="17" spans="1:2" ht="22" customHeight="1">
      <c r="A17" s="3" t="s">
        <v>2154</v>
      </c>
      <c r="B17" s="4" t="s">
        <v>2155</v>
      </c>
    </row>
    <row r="18" spans="1:2" ht="22" customHeight="1">
      <c r="A18" s="3" t="s">
        <v>2156</v>
      </c>
      <c r="B18" s="4" t="s">
        <v>2157</v>
      </c>
    </row>
    <row r="19" spans="1:2" ht="22" customHeight="1">
      <c r="A19" s="3" t="s">
        <v>2158</v>
      </c>
      <c r="B19" s="4" t="s">
        <v>2159</v>
      </c>
    </row>
    <row r="20" spans="1:2" ht="22" customHeight="1">
      <c r="A20" s="3" t="s">
        <v>2160</v>
      </c>
      <c r="B20" s="4" t="s">
        <v>2161</v>
      </c>
    </row>
    <row r="21" spans="1:2" ht="22" customHeight="1">
      <c r="A21" s="3" t="s">
        <v>2162</v>
      </c>
      <c r="B21" s="4" t="s">
        <v>2163</v>
      </c>
    </row>
    <row r="22" spans="1:2" ht="22" customHeight="1">
      <c r="A22" s="3" t="s">
        <v>2164</v>
      </c>
      <c r="B22" s="4" t="s">
        <v>2165</v>
      </c>
    </row>
    <row r="23" spans="1:2" ht="22" customHeight="1">
      <c r="A23" s="3" t="s">
        <v>2166</v>
      </c>
      <c r="B23" s="4" t="s">
        <v>2167</v>
      </c>
    </row>
    <row r="24" spans="1:2" ht="22" customHeight="1">
      <c r="A24" s="3" t="s">
        <v>2168</v>
      </c>
      <c r="B24" s="4" t="s">
        <v>2169</v>
      </c>
    </row>
    <row r="25" spans="1:2" ht="22" customHeight="1">
      <c r="A25" s="3" t="s">
        <v>398</v>
      </c>
      <c r="B25" s="4" t="s">
        <v>2170</v>
      </c>
    </row>
    <row r="26" spans="1:2" ht="22" customHeight="1">
      <c r="A26" s="3" t="s">
        <v>2171</v>
      </c>
      <c r="B26" s="4" t="s">
        <v>2172</v>
      </c>
    </row>
    <row r="27" spans="1:2" ht="22" customHeight="1">
      <c r="A27" s="3" t="s">
        <v>2173</v>
      </c>
      <c r="B27" s="4" t="s">
        <v>2174</v>
      </c>
    </row>
    <row r="28" spans="1:2" ht="22" customHeight="1">
      <c r="A28" s="3" t="s">
        <v>2175</v>
      </c>
      <c r="B28" s="4" t="s">
        <v>2176</v>
      </c>
    </row>
    <row r="29" spans="1:2" ht="22" customHeight="1">
      <c r="A29" s="3" t="s">
        <v>2177</v>
      </c>
      <c r="B29" s="4" t="s">
        <v>2178</v>
      </c>
    </row>
    <row r="30" spans="1:2" ht="22" customHeight="1">
      <c r="A30" s="3" t="s">
        <v>2179</v>
      </c>
      <c r="B30" s="4" t="s">
        <v>2180</v>
      </c>
    </row>
    <row r="31" spans="1:2" ht="22" customHeight="1">
      <c r="A31" s="3" t="s">
        <v>247</v>
      </c>
      <c r="B31" s="4" t="s">
        <v>2181</v>
      </c>
    </row>
    <row r="32" spans="1:2" ht="22" customHeight="1">
      <c r="A32" s="3" t="s">
        <v>2182</v>
      </c>
      <c r="B32" s="4" t="s">
        <v>2183</v>
      </c>
    </row>
    <row r="33" spans="1:2" ht="22" customHeight="1">
      <c r="A33" s="3" t="s">
        <v>2184</v>
      </c>
      <c r="B33" s="4" t="s">
        <v>2185</v>
      </c>
    </row>
    <row r="34" spans="1:2" ht="22" customHeight="1">
      <c r="A34" s="3" t="s">
        <v>2186</v>
      </c>
      <c r="B34" s="4" t="s">
        <v>2187</v>
      </c>
    </row>
    <row r="35" spans="1:2" ht="22" customHeight="1">
      <c r="A35" s="3" t="s">
        <v>2188</v>
      </c>
      <c r="B35" s="4" t="s">
        <v>2189</v>
      </c>
    </row>
    <row r="36" spans="1:2" ht="22" customHeight="1">
      <c r="A36" s="3" t="s">
        <v>2190</v>
      </c>
      <c r="B36" s="4" t="s">
        <v>2191</v>
      </c>
    </row>
    <row r="37" spans="1:2" ht="22" customHeight="1">
      <c r="A37" s="3" t="s">
        <v>2192</v>
      </c>
      <c r="B37" s="4" t="s">
        <v>2193</v>
      </c>
    </row>
    <row r="38" spans="1:2" ht="22" customHeight="1">
      <c r="A38" s="3" t="s">
        <v>2194</v>
      </c>
      <c r="B38" s="4" t="s">
        <v>2195</v>
      </c>
    </row>
    <row r="39" spans="1:2" ht="22" customHeight="1">
      <c r="A39" s="3" t="s">
        <v>2196</v>
      </c>
      <c r="B39" s="4" t="s">
        <v>2197</v>
      </c>
    </row>
    <row r="40" spans="1:2" ht="22" customHeight="1">
      <c r="A40" s="3" t="s">
        <v>2198</v>
      </c>
      <c r="B40" s="4" t="s">
        <v>2199</v>
      </c>
    </row>
    <row r="41" spans="1:2" ht="22" customHeight="1">
      <c r="A41" s="3" t="s">
        <v>2200</v>
      </c>
      <c r="B41" s="4" t="s">
        <v>2201</v>
      </c>
    </row>
    <row r="42" spans="1:2" ht="22" customHeight="1">
      <c r="A42" s="3" t="s">
        <v>631</v>
      </c>
      <c r="B42" s="4" t="s">
        <v>2202</v>
      </c>
    </row>
    <row r="43" spans="1:2" ht="22" customHeight="1">
      <c r="A43" s="3" t="s">
        <v>630</v>
      </c>
      <c r="B43" s="4" t="s">
        <v>2203</v>
      </c>
    </row>
    <row r="44" spans="1:2" ht="22" customHeight="1">
      <c r="A44" s="3" t="s">
        <v>876</v>
      </c>
      <c r="B44" s="4" t="s">
        <v>2204</v>
      </c>
    </row>
    <row r="45" spans="1:2" ht="22" customHeight="1">
      <c r="A45" s="3" t="s">
        <v>2205</v>
      </c>
      <c r="B45" s="4" t="s">
        <v>2206</v>
      </c>
    </row>
    <row r="46" spans="1:2" ht="22" customHeight="1">
      <c r="A46" s="3" t="s">
        <v>2207</v>
      </c>
      <c r="B46" s="4" t="s">
        <v>2208</v>
      </c>
    </row>
    <row r="47" spans="1:2" ht="22" customHeight="1">
      <c r="A47" s="3" t="s">
        <v>2209</v>
      </c>
      <c r="B47" s="4" t="s">
        <v>2210</v>
      </c>
    </row>
    <row r="48" spans="1:2" ht="22" customHeight="1">
      <c r="A48" s="3" t="s">
        <v>2211</v>
      </c>
      <c r="B48" s="4" t="s">
        <v>2212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2213</v>
      </c>
      <c r="B3" s="5"/>
      <c r="C3" s="5"/>
    </row>
    <row r="4" spans="1:3" ht="32" customHeight="1">
      <c r="A4" s="6" t="s">
        <v>1245</v>
      </c>
      <c r="B4" s="6" t="s">
        <v>2214</v>
      </c>
      <c r="C4" s="6" t="s">
        <v>2215</v>
      </c>
    </row>
    <row r="5" spans="1:3" ht="18" customHeight="1">
      <c r="A5" s="9" t="s">
        <v>2216</v>
      </c>
      <c r="B5" s="9"/>
      <c r="C5" s="9"/>
    </row>
    <row r="6" spans="1:3" ht="26" customHeight="1">
      <c r="A6" s="4" t="s">
        <v>2216</v>
      </c>
      <c r="B6" s="4" t="s">
        <v>2217</v>
      </c>
      <c r="C6" s="4" t="s">
        <v>2218</v>
      </c>
    </row>
    <row r="7" spans="1:3" ht="26" customHeight="1">
      <c r="A7" s="4" t="s">
        <v>2216</v>
      </c>
      <c r="B7" s="4" t="s">
        <v>2219</v>
      </c>
      <c r="C7" s="4" t="s">
        <v>2220</v>
      </c>
    </row>
    <row r="8" spans="1:3" ht="26" customHeight="1">
      <c r="A8" s="4" t="s">
        <v>2216</v>
      </c>
      <c r="B8" s="4" t="s">
        <v>2221</v>
      </c>
      <c r="C8" s="4" t="s">
        <v>2222</v>
      </c>
    </row>
    <row r="9" spans="1:3" ht="26" customHeight="1">
      <c r="A9" s="4" t="s">
        <v>2216</v>
      </c>
      <c r="B9" s="4" t="s">
        <v>2223</v>
      </c>
      <c r="C9" s="4" t="s">
        <v>2224</v>
      </c>
    </row>
    <row r="10" spans="1:3" ht="26" customHeight="1">
      <c r="A10" s="4" t="s">
        <v>2216</v>
      </c>
      <c r="B10" s="4" t="s">
        <v>2225</v>
      </c>
      <c r="C10" s="4" t="s">
        <v>2226</v>
      </c>
    </row>
    <row r="11" spans="1:3" ht="18" customHeight="1">
      <c r="A11" s="9" t="s">
        <v>2227</v>
      </c>
      <c r="B11" s="9"/>
      <c r="C11" s="9"/>
    </row>
    <row r="12" spans="1:3" ht="26" customHeight="1">
      <c r="A12" s="4" t="s">
        <v>2227</v>
      </c>
      <c r="B12" s="4" t="s">
        <v>2228</v>
      </c>
      <c r="C12" s="4" t="s">
        <v>2229</v>
      </c>
    </row>
    <row r="13" spans="1:3" ht="26" customHeight="1">
      <c r="A13" s="4" t="s">
        <v>2227</v>
      </c>
      <c r="B13" s="4" t="s">
        <v>2230</v>
      </c>
      <c r="C13" s="4" t="s">
        <v>2231</v>
      </c>
    </row>
    <row r="14" spans="1:3" ht="26" customHeight="1">
      <c r="A14" s="4" t="s">
        <v>2227</v>
      </c>
      <c r="B14" s="4" t="s">
        <v>2232</v>
      </c>
      <c r="C14" s="4" t="s">
        <v>2233</v>
      </c>
    </row>
    <row r="15" spans="1:3" ht="18" customHeight="1">
      <c r="A15" s="9" t="s">
        <v>2234</v>
      </c>
      <c r="B15" s="9"/>
      <c r="C15" s="9"/>
    </row>
    <row r="16" spans="1:3" ht="26" customHeight="1">
      <c r="A16" s="4" t="s">
        <v>2234</v>
      </c>
      <c r="B16" s="4" t="s">
        <v>2235</v>
      </c>
      <c r="C16" s="4" t="s">
        <v>2236</v>
      </c>
    </row>
    <row r="17" spans="1:3" ht="26" customHeight="1">
      <c r="A17" s="4" t="s">
        <v>2234</v>
      </c>
      <c r="B17" s="4" t="s">
        <v>2237</v>
      </c>
      <c r="C17" s="4" t="s">
        <v>2238</v>
      </c>
    </row>
    <row r="18" spans="1:3" ht="26" customHeight="1">
      <c r="A18" s="4" t="s">
        <v>2234</v>
      </c>
      <c r="B18" s="4" t="s">
        <v>2239</v>
      </c>
      <c r="C18" s="4" t="s">
        <v>2240</v>
      </c>
    </row>
    <row r="19" spans="1:3" ht="18" customHeight="1">
      <c r="A19" s="9" t="s">
        <v>2241</v>
      </c>
      <c r="B19" s="9"/>
      <c r="C19" s="9"/>
    </row>
    <row r="20" spans="1:3" ht="26" customHeight="1">
      <c r="A20" s="4" t="s">
        <v>2241</v>
      </c>
      <c r="B20" s="4" t="s">
        <v>2242</v>
      </c>
      <c r="C20" s="4" t="s">
        <v>2243</v>
      </c>
    </row>
    <row r="21" spans="1:3" ht="26" customHeight="1">
      <c r="A21" s="4" t="s">
        <v>2241</v>
      </c>
      <c r="B21" s="4" t="s">
        <v>2244</v>
      </c>
      <c r="C21" s="4" t="s">
        <v>2245</v>
      </c>
    </row>
    <row r="22" spans="1:3" ht="26" customHeight="1">
      <c r="A22" s="4" t="s">
        <v>2241</v>
      </c>
      <c r="B22" s="4" t="s">
        <v>2246</v>
      </c>
      <c r="C22" s="4" t="s">
        <v>2247</v>
      </c>
    </row>
    <row r="23" spans="1:3" ht="18" customHeight="1">
      <c r="A23" s="9" t="s">
        <v>2248</v>
      </c>
      <c r="B23" s="9"/>
      <c r="C23" s="9"/>
    </row>
    <row r="24" spans="1:3" ht="26" customHeight="1">
      <c r="A24" s="4" t="s">
        <v>2248</v>
      </c>
      <c r="B24" s="4" t="s">
        <v>2249</v>
      </c>
      <c r="C24" s="4" t="s">
        <v>2250</v>
      </c>
    </row>
    <row r="25" spans="1:3" ht="26" customHeight="1">
      <c r="A25" s="4" t="s">
        <v>2248</v>
      </c>
      <c r="B25" s="4" t="s">
        <v>2251</v>
      </c>
      <c r="C25" s="4" t="s">
        <v>2252</v>
      </c>
    </row>
    <row r="26" spans="1:3" ht="18" customHeight="1">
      <c r="A26" s="9" t="s">
        <v>2253</v>
      </c>
      <c r="B26" s="9"/>
      <c r="C26" s="9"/>
    </row>
    <row r="27" spans="1:3" ht="26" customHeight="1">
      <c r="A27" s="4" t="s">
        <v>2253</v>
      </c>
      <c r="B27" s="4" t="s">
        <v>2254</v>
      </c>
      <c r="C27" s="4" t="s">
        <v>2255</v>
      </c>
    </row>
    <row r="28" spans="1:3" ht="18" customHeight="1">
      <c r="A28" s="9" t="s">
        <v>2256</v>
      </c>
      <c r="B28" s="9"/>
      <c r="C28" s="9"/>
    </row>
    <row r="29" spans="1:3" ht="26" customHeight="1">
      <c r="A29" s="4" t="s">
        <v>2256</v>
      </c>
      <c r="B29" s="4" t="s">
        <v>2257</v>
      </c>
      <c r="C29" s="4" t="s">
        <v>2258</v>
      </c>
    </row>
    <row r="30" spans="1:3" ht="26" customHeight="1">
      <c r="A30" s="4" t="s">
        <v>2256</v>
      </c>
      <c r="B30" s="4" t="s">
        <v>2259</v>
      </c>
      <c r="C30" s="4" t="s">
        <v>2260</v>
      </c>
    </row>
  </sheetData>
  <mergeCells count="10">
    <mergeCell ref="A1:C1"/>
    <mergeCell ref="A2:C2"/>
    <mergeCell ref="A3:C3"/>
    <mergeCell ref="A5:C5"/>
    <mergeCell ref="A11:C11"/>
    <mergeCell ref="A15:C15"/>
    <mergeCell ref="A19:C19"/>
    <mergeCell ref="A23:C23"/>
    <mergeCell ref="A26:C26"/>
    <mergeCell ref="A28:C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9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38.7109375" customWidth="1"/>
    <col min="4" max="4" width="12.7109375" customWidth="1"/>
    <col min="5" max="5" width="16.7109375" customWidth="1"/>
    <col min="6" max="6" width="10.7109375" customWidth="1"/>
    <col min="7" max="7" width="12.7109375" customWidth="1"/>
    <col min="8" max="9" width="14.7109375" customWidth="1"/>
    <col min="10" max="10" width="30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2" customHeight="1">
      <c r="A3" s="5" t="s">
        <v>2261</v>
      </c>
      <c r="B3" s="5"/>
      <c r="C3" s="5"/>
      <c r="D3" s="5"/>
      <c r="E3" s="5"/>
      <c r="F3" s="5"/>
      <c r="G3" s="5"/>
      <c r="H3" s="5"/>
      <c r="I3" s="5"/>
      <c r="J3" s="5"/>
    </row>
    <row r="4" spans="1:10" ht="20" customHeight="1">
      <c r="A4" s="9" t="s">
        <v>2262</v>
      </c>
      <c r="B4" s="9"/>
      <c r="C4" s="9"/>
      <c r="D4" s="9"/>
      <c r="E4" s="9"/>
      <c r="F4" s="9"/>
      <c r="G4" s="9"/>
      <c r="H4" s="9"/>
      <c r="I4" s="9"/>
      <c r="J4" s="9"/>
    </row>
    <row r="5" spans="1:10" ht="32" customHeight="1">
      <c r="A5" s="6" t="s">
        <v>2263</v>
      </c>
      <c r="B5" s="6" t="s">
        <v>2264</v>
      </c>
      <c r="C5" s="6" t="s">
        <v>2265</v>
      </c>
      <c r="D5" s="6" t="s">
        <v>630</v>
      </c>
      <c r="E5" s="6" t="s">
        <v>2266</v>
      </c>
      <c r="F5" s="6" t="s">
        <v>2267</v>
      </c>
      <c r="G5" s="6" t="s">
        <v>2268</v>
      </c>
      <c r="H5" s="6" t="s">
        <v>2269</v>
      </c>
      <c r="I5" s="6" t="s">
        <v>2270</v>
      </c>
      <c r="J5" s="6" t="s">
        <v>2271</v>
      </c>
    </row>
    <row r="6" spans="1:10" ht="18" customHeight="1">
      <c r="A6" s="9" t="s">
        <v>1250</v>
      </c>
      <c r="B6" s="9"/>
      <c r="C6" s="9"/>
      <c r="D6" s="9"/>
      <c r="E6" s="9"/>
      <c r="F6" s="9"/>
      <c r="G6" s="9"/>
      <c r="H6" s="9"/>
      <c r="I6" s="9"/>
      <c r="J6" s="9"/>
    </row>
    <row r="7" spans="1:10" ht="36" customHeight="1">
      <c r="A7" s="4" t="s">
        <v>1250</v>
      </c>
      <c r="B7" s="7" t="s">
        <v>2272</v>
      </c>
      <c r="C7" s="4" t="s">
        <v>2273</v>
      </c>
      <c r="D7" s="7" t="s">
        <v>2274</v>
      </c>
      <c r="E7" s="12">
        <v>22.25</v>
      </c>
      <c r="F7" s="7">
        <v>3</v>
      </c>
      <c r="G7" s="7">
        <v>10230</v>
      </c>
      <c r="H7" s="7" t="s">
        <v>852</v>
      </c>
      <c r="I7" s="7" t="s">
        <v>852</v>
      </c>
      <c r="J7" s="4" t="s">
        <v>2275</v>
      </c>
    </row>
    <row r="8" spans="1:10" ht="36" customHeight="1">
      <c r="A8" s="4" t="s">
        <v>1250</v>
      </c>
      <c r="B8" s="7" t="s">
        <v>2276</v>
      </c>
      <c r="C8" s="4" t="s">
        <v>2277</v>
      </c>
      <c r="D8" s="7" t="s">
        <v>2274</v>
      </c>
      <c r="E8" s="12">
        <v>14.74</v>
      </c>
      <c r="F8" s="7">
        <v>1</v>
      </c>
      <c r="G8" s="7">
        <v>7500</v>
      </c>
      <c r="H8" s="7" t="s">
        <v>852</v>
      </c>
      <c r="I8" s="7" t="s">
        <v>852</v>
      </c>
      <c r="J8" s="4" t="s">
        <v>2278</v>
      </c>
    </row>
    <row r="9" spans="1:10" ht="36" customHeight="1">
      <c r="A9" s="4" t="s">
        <v>1250</v>
      </c>
      <c r="B9" s="7" t="s">
        <v>2279</v>
      </c>
      <c r="C9" s="4" t="s">
        <v>2280</v>
      </c>
      <c r="D9" s="7" t="s">
        <v>2274</v>
      </c>
      <c r="E9" s="12">
        <v>8.199999999999999</v>
      </c>
      <c r="F9" s="7">
        <v>10</v>
      </c>
      <c r="G9" s="7">
        <v>1722910</v>
      </c>
      <c r="H9" s="11">
        <v>24</v>
      </c>
      <c r="I9" s="11">
        <v>32</v>
      </c>
      <c r="J9" s="22" t="s">
        <v>2281</v>
      </c>
    </row>
    <row r="10" spans="1:10" ht="36" customHeight="1">
      <c r="A10" s="4" t="s">
        <v>1250</v>
      </c>
      <c r="B10" s="7" t="s">
        <v>2282</v>
      </c>
      <c r="C10" s="4" t="s">
        <v>2283</v>
      </c>
      <c r="D10" s="7" t="s">
        <v>2274</v>
      </c>
      <c r="E10" s="12">
        <v>15.22</v>
      </c>
      <c r="F10" s="7">
        <v>5</v>
      </c>
      <c r="G10" s="7">
        <v>392400</v>
      </c>
      <c r="H10" s="11">
        <v>24</v>
      </c>
      <c r="I10" s="11">
        <v>32</v>
      </c>
      <c r="J10" s="22" t="s">
        <v>2284</v>
      </c>
    </row>
    <row r="11" spans="1:10" ht="36" customHeight="1">
      <c r="A11" s="4" t="s">
        <v>1250</v>
      </c>
      <c r="B11" s="7" t="s">
        <v>2285</v>
      </c>
      <c r="C11" s="4" t="s">
        <v>2286</v>
      </c>
      <c r="D11" s="7" t="s">
        <v>2274</v>
      </c>
      <c r="E11" s="12">
        <v>24.4</v>
      </c>
      <c r="F11" s="7">
        <v>6</v>
      </c>
      <c r="G11" s="7">
        <v>237400</v>
      </c>
      <c r="H11" s="11">
        <v>22</v>
      </c>
      <c r="I11" s="11">
        <v>45</v>
      </c>
      <c r="J11" s="23" t="s">
        <v>2287</v>
      </c>
    </row>
    <row r="12" spans="1:10" ht="36" customHeight="1">
      <c r="A12" s="4" t="s">
        <v>1250</v>
      </c>
      <c r="B12" s="7" t="s">
        <v>2288</v>
      </c>
      <c r="C12" s="4" t="s">
        <v>2289</v>
      </c>
      <c r="D12" s="7" t="s">
        <v>2274</v>
      </c>
      <c r="E12" s="12">
        <v>4.67</v>
      </c>
      <c r="F12" s="7">
        <v>2</v>
      </c>
      <c r="G12" s="7">
        <v>448700</v>
      </c>
      <c r="H12" s="7" t="s">
        <v>852</v>
      </c>
      <c r="I12" s="7" t="s">
        <v>852</v>
      </c>
      <c r="J12" s="4" t="s">
        <v>2290</v>
      </c>
    </row>
    <row r="13" spans="1:10" ht="36" customHeight="1">
      <c r="A13" s="4" t="s">
        <v>1250</v>
      </c>
      <c r="B13" s="7" t="s">
        <v>2291</v>
      </c>
      <c r="C13" s="4" t="s">
        <v>2292</v>
      </c>
      <c r="D13" s="7" t="s">
        <v>2293</v>
      </c>
      <c r="E13" s="12">
        <v>1.78</v>
      </c>
      <c r="F13" s="7">
        <v>3</v>
      </c>
      <c r="G13" s="7">
        <v>453800</v>
      </c>
      <c r="H13" s="7" t="s">
        <v>852</v>
      </c>
      <c r="I13" s="7" t="s">
        <v>852</v>
      </c>
      <c r="J13" s="4" t="s">
        <v>2294</v>
      </c>
    </row>
    <row r="14" spans="1:10" ht="36" customHeight="1">
      <c r="A14" s="4" t="s">
        <v>1250</v>
      </c>
      <c r="B14" s="7" t="s">
        <v>2295</v>
      </c>
      <c r="C14" s="4" t="s">
        <v>2296</v>
      </c>
      <c r="D14" s="7" t="s">
        <v>2297</v>
      </c>
      <c r="E14" s="12">
        <v>0.93</v>
      </c>
      <c r="F14" s="7">
        <v>10</v>
      </c>
      <c r="G14" s="7">
        <v>1770250</v>
      </c>
      <c r="H14" s="7" t="s">
        <v>852</v>
      </c>
      <c r="I14" s="7" t="s">
        <v>852</v>
      </c>
      <c r="J14" s="4" t="s">
        <v>2298</v>
      </c>
    </row>
    <row r="15" spans="1:10" ht="18" customHeight="1">
      <c r="A15" s="9" t="s">
        <v>2299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36" customHeight="1">
      <c r="A16" s="4" t="s">
        <v>2299</v>
      </c>
      <c r="B16" s="7" t="s">
        <v>2300</v>
      </c>
      <c r="C16" s="4" t="s">
        <v>2301</v>
      </c>
      <c r="D16" s="7" t="s">
        <v>817</v>
      </c>
      <c r="E16" s="12">
        <v>0.3</v>
      </c>
      <c r="F16" s="7">
        <v>5</v>
      </c>
      <c r="G16" s="7">
        <v>850070</v>
      </c>
      <c r="H16" s="7" t="s">
        <v>852</v>
      </c>
      <c r="I16" s="7" t="s">
        <v>852</v>
      </c>
      <c r="J16" s="4" t="s">
        <v>2302</v>
      </c>
    </row>
    <row r="17" spans="1:10" ht="36" customHeight="1">
      <c r="A17" s="4" t="s">
        <v>2299</v>
      </c>
      <c r="B17" s="7" t="s">
        <v>2303</v>
      </c>
      <c r="C17" s="4" t="s">
        <v>2304</v>
      </c>
      <c r="D17" s="7" t="s">
        <v>817</v>
      </c>
      <c r="E17" s="12">
        <v>34.27</v>
      </c>
      <c r="F17" s="7">
        <v>10</v>
      </c>
      <c r="G17" s="7">
        <v>811950</v>
      </c>
      <c r="H17" s="7" t="s">
        <v>852</v>
      </c>
      <c r="I17" s="7" t="s">
        <v>852</v>
      </c>
      <c r="J17" s="4" t="s">
        <v>2305</v>
      </c>
    </row>
    <row r="18" spans="1:10" ht="36" customHeight="1">
      <c r="A18" s="4" t="s">
        <v>2299</v>
      </c>
      <c r="B18" s="7" t="s">
        <v>2306</v>
      </c>
      <c r="C18" s="4" t="s">
        <v>2307</v>
      </c>
      <c r="D18" s="7" t="s">
        <v>817</v>
      </c>
      <c r="E18" s="12">
        <v>36.67</v>
      </c>
      <c r="F18" s="7">
        <v>1</v>
      </c>
      <c r="G18" s="7">
        <v>1500</v>
      </c>
      <c r="H18" s="7" t="s">
        <v>852</v>
      </c>
      <c r="I18" s="7" t="s">
        <v>852</v>
      </c>
      <c r="J18" s="4" t="s">
        <v>2308</v>
      </c>
    </row>
    <row r="19" spans="1:10" ht="36" customHeight="1">
      <c r="A19" s="4" t="s">
        <v>2299</v>
      </c>
      <c r="B19" s="7" t="s">
        <v>2309</v>
      </c>
      <c r="C19" s="4" t="s">
        <v>2310</v>
      </c>
      <c r="D19" s="7" t="s">
        <v>2297</v>
      </c>
      <c r="E19" s="12">
        <v>2.01</v>
      </c>
      <c r="F19" s="7">
        <v>8</v>
      </c>
      <c r="G19" s="7">
        <v>879450</v>
      </c>
      <c r="H19" s="7" t="s">
        <v>852</v>
      </c>
      <c r="I19" s="7" t="s">
        <v>852</v>
      </c>
      <c r="J19" s="4" t="s">
        <v>2311</v>
      </c>
    </row>
    <row r="20" spans="1:10" ht="36" customHeight="1">
      <c r="A20" s="4" t="s">
        <v>2299</v>
      </c>
      <c r="B20" s="7" t="s">
        <v>2312</v>
      </c>
      <c r="C20" s="4" t="s">
        <v>2313</v>
      </c>
      <c r="D20" s="7" t="s">
        <v>817</v>
      </c>
      <c r="E20" s="12">
        <v>59.8</v>
      </c>
      <c r="F20" s="7">
        <v>1</v>
      </c>
      <c r="G20" s="7">
        <v>1960</v>
      </c>
      <c r="H20" s="7" t="s">
        <v>852</v>
      </c>
      <c r="I20" s="7" t="s">
        <v>852</v>
      </c>
      <c r="J20" s="4" t="s">
        <v>2314</v>
      </c>
    </row>
    <row r="21" spans="1:10" ht="18" customHeight="1">
      <c r="A21" s="9" t="s">
        <v>2315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 ht="36" customHeight="1">
      <c r="A22" s="4" t="s">
        <v>2315</v>
      </c>
      <c r="B22" s="7" t="s">
        <v>2316</v>
      </c>
      <c r="C22" s="4" t="s">
        <v>2317</v>
      </c>
      <c r="D22" s="7" t="s">
        <v>710</v>
      </c>
      <c r="E22" s="12">
        <v>616.67</v>
      </c>
      <c r="F22" s="7">
        <v>1</v>
      </c>
      <c r="G22" s="7">
        <v>8</v>
      </c>
      <c r="H22" s="7" t="s">
        <v>852</v>
      </c>
      <c r="I22" s="7" t="s">
        <v>852</v>
      </c>
      <c r="J22" s="4" t="s">
        <v>2318</v>
      </c>
    </row>
    <row r="23" spans="1:10" ht="36" customHeight="1">
      <c r="A23" s="4" t="s">
        <v>2315</v>
      </c>
      <c r="B23" s="7" t="s">
        <v>2319</v>
      </c>
      <c r="C23" s="4" t="s">
        <v>2320</v>
      </c>
      <c r="D23" s="7" t="s">
        <v>710</v>
      </c>
      <c r="E23" s="12">
        <v>362.17</v>
      </c>
      <c r="F23" s="7">
        <v>5</v>
      </c>
      <c r="G23" s="7">
        <v>2683</v>
      </c>
      <c r="H23" s="7" t="s">
        <v>852</v>
      </c>
      <c r="I23" s="7" t="s">
        <v>852</v>
      </c>
      <c r="J23" s="4" t="s">
        <v>2321</v>
      </c>
    </row>
    <row r="24" spans="1:10" ht="36" customHeight="1">
      <c r="A24" s="4" t="s">
        <v>2315</v>
      </c>
      <c r="B24" s="7" t="s">
        <v>2322</v>
      </c>
      <c r="C24" s="4" t="s">
        <v>2323</v>
      </c>
      <c r="D24" s="7" t="s">
        <v>710</v>
      </c>
      <c r="E24" s="12">
        <v>510</v>
      </c>
      <c r="F24" s="7">
        <v>1</v>
      </c>
      <c r="G24" s="7">
        <v>22</v>
      </c>
      <c r="H24" s="11">
        <v>580</v>
      </c>
      <c r="I24" s="11">
        <v>750</v>
      </c>
      <c r="J24" s="22" t="s">
        <v>2324</v>
      </c>
    </row>
    <row r="25" spans="1:10" ht="36" customHeight="1">
      <c r="A25" s="4" t="s">
        <v>2315</v>
      </c>
      <c r="B25" s="7" t="s">
        <v>2325</v>
      </c>
      <c r="C25" s="4" t="s">
        <v>2326</v>
      </c>
      <c r="D25" s="7" t="s">
        <v>710</v>
      </c>
      <c r="E25" s="12">
        <v>566.74</v>
      </c>
      <c r="F25" s="7">
        <v>6</v>
      </c>
      <c r="G25" s="7">
        <v>996</v>
      </c>
      <c r="H25" s="11">
        <v>580</v>
      </c>
      <c r="I25" s="11">
        <v>750</v>
      </c>
      <c r="J25" s="22" t="s">
        <v>2327</v>
      </c>
    </row>
    <row r="26" spans="1:10" ht="36" customHeight="1">
      <c r="A26" s="4" t="s">
        <v>2315</v>
      </c>
      <c r="B26" s="7" t="s">
        <v>2328</v>
      </c>
      <c r="C26" s="4" t="s">
        <v>2329</v>
      </c>
      <c r="D26" s="7" t="s">
        <v>710</v>
      </c>
      <c r="E26" s="12">
        <v>720.58</v>
      </c>
      <c r="F26" s="7">
        <v>3</v>
      </c>
      <c r="G26" s="7">
        <v>101</v>
      </c>
      <c r="H26" s="11">
        <v>680</v>
      </c>
      <c r="I26" s="11">
        <v>880</v>
      </c>
      <c r="J26" s="23" t="s">
        <v>2330</v>
      </c>
    </row>
    <row r="27" spans="1:10" ht="36" customHeight="1">
      <c r="A27" s="4" t="s">
        <v>2315</v>
      </c>
      <c r="B27" s="7" t="s">
        <v>2331</v>
      </c>
      <c r="C27" s="4" t="s">
        <v>2332</v>
      </c>
      <c r="D27" s="7" t="s">
        <v>710</v>
      </c>
      <c r="E27" s="12">
        <v>824.24</v>
      </c>
      <c r="F27" s="7">
        <v>2</v>
      </c>
      <c r="G27" s="7">
        <v>100</v>
      </c>
      <c r="H27" s="11">
        <v>800</v>
      </c>
      <c r="I27" s="11">
        <v>1020</v>
      </c>
      <c r="J27" s="23" t="s">
        <v>2333</v>
      </c>
    </row>
    <row r="28" spans="1:10" ht="36" customHeight="1">
      <c r="A28" s="4" t="s">
        <v>2315</v>
      </c>
      <c r="B28" s="7" t="s">
        <v>2334</v>
      </c>
      <c r="C28" s="4" t="s">
        <v>2335</v>
      </c>
      <c r="D28" s="7" t="s">
        <v>710</v>
      </c>
      <c r="E28" s="12">
        <v>1893</v>
      </c>
      <c r="F28" s="7">
        <v>1</v>
      </c>
      <c r="G28" s="7">
        <v>370</v>
      </c>
      <c r="H28" s="7" t="s">
        <v>852</v>
      </c>
      <c r="I28" s="7" t="s">
        <v>852</v>
      </c>
      <c r="J28" s="4" t="s">
        <v>2336</v>
      </c>
    </row>
    <row r="29" spans="1:10" ht="36" customHeight="1">
      <c r="A29" s="4" t="s">
        <v>2315</v>
      </c>
      <c r="B29" s="7" t="s">
        <v>2337</v>
      </c>
      <c r="C29" s="4" t="s">
        <v>2338</v>
      </c>
      <c r="D29" s="7" t="s">
        <v>710</v>
      </c>
      <c r="E29" s="12">
        <v>1554.67</v>
      </c>
      <c r="F29" s="7">
        <v>1</v>
      </c>
      <c r="G29" s="7">
        <v>540</v>
      </c>
      <c r="H29" s="7" t="s">
        <v>852</v>
      </c>
      <c r="I29" s="7" t="s">
        <v>852</v>
      </c>
      <c r="J29" s="4" t="s">
        <v>2339</v>
      </c>
    </row>
    <row r="30" spans="1:10" ht="36" customHeight="1">
      <c r="A30" s="4" t="s">
        <v>2315</v>
      </c>
      <c r="B30" s="7" t="s">
        <v>2340</v>
      </c>
      <c r="C30" s="4" t="s">
        <v>2341</v>
      </c>
      <c r="D30" s="7" t="s">
        <v>2274</v>
      </c>
      <c r="E30" s="12">
        <v>740.17</v>
      </c>
      <c r="F30" s="7">
        <v>8</v>
      </c>
      <c r="G30" s="7">
        <v>1153</v>
      </c>
      <c r="H30" s="7" t="s">
        <v>852</v>
      </c>
      <c r="I30" s="7" t="s">
        <v>852</v>
      </c>
      <c r="J30" s="4" t="s">
        <v>2342</v>
      </c>
    </row>
    <row r="31" spans="1:10" ht="36" customHeight="1">
      <c r="A31" s="4" t="s">
        <v>2315</v>
      </c>
      <c r="B31" s="7" t="s">
        <v>2343</v>
      </c>
      <c r="C31" s="4" t="s">
        <v>2344</v>
      </c>
      <c r="D31" s="7" t="s">
        <v>710</v>
      </c>
      <c r="E31" s="12">
        <v>197.89</v>
      </c>
      <c r="F31" s="7">
        <v>3</v>
      </c>
      <c r="G31" s="7">
        <v>356</v>
      </c>
      <c r="H31" s="7" t="s">
        <v>852</v>
      </c>
      <c r="I31" s="7" t="s">
        <v>852</v>
      </c>
      <c r="J31" s="4" t="s">
        <v>2345</v>
      </c>
    </row>
    <row r="32" spans="1:10" ht="36" customHeight="1">
      <c r="A32" s="4" t="s">
        <v>2315</v>
      </c>
      <c r="B32" s="7" t="s">
        <v>2346</v>
      </c>
      <c r="C32" s="4" t="s">
        <v>2347</v>
      </c>
      <c r="D32" s="7" t="s">
        <v>710</v>
      </c>
      <c r="E32" s="12">
        <v>494.69</v>
      </c>
      <c r="F32" s="7">
        <v>1</v>
      </c>
      <c r="G32" s="7">
        <v>319</v>
      </c>
      <c r="H32" s="7" t="s">
        <v>852</v>
      </c>
      <c r="I32" s="7" t="s">
        <v>852</v>
      </c>
      <c r="J32" s="4" t="s">
        <v>2348</v>
      </c>
    </row>
    <row r="33" spans="1:10" ht="18" customHeight="1">
      <c r="A33" s="9" t="s">
        <v>2349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ht="36" customHeight="1">
      <c r="A34" s="4" t="s">
        <v>2349</v>
      </c>
      <c r="B34" s="7" t="s">
        <v>2350</v>
      </c>
      <c r="C34" s="4" t="s">
        <v>2351</v>
      </c>
      <c r="D34" s="7" t="s">
        <v>2274</v>
      </c>
      <c r="E34" s="12">
        <v>313.41</v>
      </c>
      <c r="F34" s="7">
        <v>13</v>
      </c>
      <c r="G34" s="7">
        <v>1799</v>
      </c>
      <c r="H34" s="11">
        <v>65</v>
      </c>
      <c r="I34" s="11">
        <v>100</v>
      </c>
      <c r="J34" s="24" t="s">
        <v>2352</v>
      </c>
    </row>
    <row r="35" spans="1:10" ht="36" customHeight="1">
      <c r="A35" s="4" t="s">
        <v>2349</v>
      </c>
      <c r="B35" s="7" t="s">
        <v>2353</v>
      </c>
      <c r="C35" s="4" t="s">
        <v>2354</v>
      </c>
      <c r="D35" s="7" t="s">
        <v>2274</v>
      </c>
      <c r="E35" s="12">
        <v>297.62</v>
      </c>
      <c r="F35" s="7">
        <v>3</v>
      </c>
      <c r="G35" s="7">
        <v>319</v>
      </c>
      <c r="H35" s="11">
        <v>65</v>
      </c>
      <c r="I35" s="11">
        <v>100</v>
      </c>
      <c r="J35" s="24" t="s">
        <v>2355</v>
      </c>
    </row>
    <row r="36" spans="1:10" ht="36" customHeight="1">
      <c r="A36" s="4" t="s">
        <v>2349</v>
      </c>
      <c r="B36" s="7" t="s">
        <v>2356</v>
      </c>
      <c r="C36" s="4" t="s">
        <v>2357</v>
      </c>
      <c r="D36" s="7" t="s">
        <v>2274</v>
      </c>
      <c r="E36" s="12">
        <v>265.82</v>
      </c>
      <c r="F36" s="7">
        <v>3</v>
      </c>
      <c r="G36" s="7">
        <v>1640</v>
      </c>
      <c r="H36" s="11">
        <v>75</v>
      </c>
      <c r="I36" s="11">
        <v>120</v>
      </c>
      <c r="J36" s="24" t="s">
        <v>2358</v>
      </c>
    </row>
    <row r="37" spans="1:10" ht="36" customHeight="1">
      <c r="A37" s="4" t="s">
        <v>2349</v>
      </c>
      <c r="B37" s="7" t="s">
        <v>2359</v>
      </c>
      <c r="C37" s="4" t="s">
        <v>2360</v>
      </c>
      <c r="D37" s="7" t="s">
        <v>2297</v>
      </c>
      <c r="E37" s="12">
        <v>501.1</v>
      </c>
      <c r="F37" s="7">
        <v>2</v>
      </c>
      <c r="G37" s="7">
        <v>640</v>
      </c>
      <c r="H37" s="7" t="s">
        <v>852</v>
      </c>
      <c r="I37" s="7" t="s">
        <v>852</v>
      </c>
      <c r="J37" s="4" t="s">
        <v>2361</v>
      </c>
    </row>
    <row r="38" spans="1:10" ht="36" customHeight="1">
      <c r="A38" s="4" t="s">
        <v>2349</v>
      </c>
      <c r="B38" s="7" t="s">
        <v>2362</v>
      </c>
      <c r="C38" s="4" t="s">
        <v>2363</v>
      </c>
      <c r="D38" s="7" t="s">
        <v>2297</v>
      </c>
      <c r="E38" s="12">
        <v>122.86</v>
      </c>
      <c r="F38" s="7">
        <v>2</v>
      </c>
      <c r="G38" s="7">
        <v>659</v>
      </c>
      <c r="H38" s="7" t="s">
        <v>852</v>
      </c>
      <c r="I38" s="7" t="s">
        <v>852</v>
      </c>
      <c r="J38" s="4" t="s">
        <v>2364</v>
      </c>
    </row>
    <row r="39" spans="1:10" ht="18" customHeight="1">
      <c r="A39" s="9" t="s">
        <v>1278</v>
      </c>
      <c r="B39" s="9"/>
      <c r="C39" s="9"/>
      <c r="D39" s="9"/>
      <c r="E39" s="9"/>
      <c r="F39" s="9"/>
      <c r="G39" s="9"/>
      <c r="H39" s="9"/>
      <c r="I39" s="9"/>
      <c r="J39" s="9"/>
    </row>
    <row r="40" spans="1:10" ht="36" customHeight="1">
      <c r="A40" s="4" t="s">
        <v>1278</v>
      </c>
      <c r="B40" s="7" t="s">
        <v>2365</v>
      </c>
      <c r="C40" s="4" t="s">
        <v>2366</v>
      </c>
      <c r="D40" s="7" t="s">
        <v>2274</v>
      </c>
      <c r="E40" s="12">
        <v>2058.93</v>
      </c>
      <c r="F40" s="7">
        <v>2</v>
      </c>
      <c r="G40" s="7">
        <v>105</v>
      </c>
      <c r="H40" s="11">
        <v>2200</v>
      </c>
      <c r="I40" s="11">
        <v>3500</v>
      </c>
      <c r="J40" s="22" t="s">
        <v>2367</v>
      </c>
    </row>
    <row r="41" spans="1:10" ht="36" customHeight="1">
      <c r="A41" s="4" t="s">
        <v>1278</v>
      </c>
      <c r="B41" s="7" t="s">
        <v>2368</v>
      </c>
      <c r="C41" s="4" t="s">
        <v>2369</v>
      </c>
      <c r="D41" s="7" t="s">
        <v>2274</v>
      </c>
      <c r="E41" s="12">
        <v>794.5</v>
      </c>
      <c r="F41" s="7">
        <v>5</v>
      </c>
      <c r="G41" s="7">
        <v>683</v>
      </c>
      <c r="H41" s="11">
        <v>2200</v>
      </c>
      <c r="I41" s="11">
        <v>3500</v>
      </c>
      <c r="J41" s="22" t="s">
        <v>2370</v>
      </c>
    </row>
    <row r="42" spans="1:10" ht="36" customHeight="1">
      <c r="A42" s="4" t="s">
        <v>1278</v>
      </c>
      <c r="B42" s="7" t="s">
        <v>2371</v>
      </c>
      <c r="C42" s="4" t="s">
        <v>2372</v>
      </c>
      <c r="D42" s="7" t="s">
        <v>2274</v>
      </c>
      <c r="E42" s="12">
        <v>1951.01</v>
      </c>
      <c r="F42" s="7">
        <v>9</v>
      </c>
      <c r="G42" s="7">
        <v>1192</v>
      </c>
      <c r="H42" s="11">
        <v>2200</v>
      </c>
      <c r="I42" s="11">
        <v>3500</v>
      </c>
      <c r="J42" s="22" t="s">
        <v>2373</v>
      </c>
    </row>
    <row r="43" spans="1:10" ht="36" customHeight="1">
      <c r="A43" s="4" t="s">
        <v>1278</v>
      </c>
      <c r="B43" s="7" t="s">
        <v>2374</v>
      </c>
      <c r="C43" s="4" t="s">
        <v>2375</v>
      </c>
      <c r="D43" s="7" t="s">
        <v>2274</v>
      </c>
      <c r="E43" s="12">
        <v>2692.3</v>
      </c>
      <c r="F43" s="7">
        <v>5</v>
      </c>
      <c r="G43" s="7">
        <v>1449</v>
      </c>
      <c r="H43" s="11">
        <v>2200</v>
      </c>
      <c r="I43" s="11">
        <v>3500</v>
      </c>
      <c r="J43" s="23" t="s">
        <v>2376</v>
      </c>
    </row>
    <row r="44" spans="1:10" ht="36" customHeight="1">
      <c r="A44" s="4" t="s">
        <v>1278</v>
      </c>
      <c r="B44" s="7" t="s">
        <v>2377</v>
      </c>
      <c r="C44" s="4" t="s">
        <v>2378</v>
      </c>
      <c r="D44" s="7" t="s">
        <v>2297</v>
      </c>
      <c r="E44" s="12">
        <v>182.47</v>
      </c>
      <c r="F44" s="7">
        <v>2</v>
      </c>
      <c r="G44" s="7">
        <v>5330</v>
      </c>
      <c r="H44" s="7" t="s">
        <v>852</v>
      </c>
      <c r="I44" s="7" t="s">
        <v>852</v>
      </c>
      <c r="J44" s="4" t="s">
        <v>2379</v>
      </c>
    </row>
    <row r="45" spans="1:10" ht="18" customHeight="1">
      <c r="A45" s="9" t="s">
        <v>2380</v>
      </c>
      <c r="B45" s="9"/>
      <c r="C45" s="9"/>
      <c r="D45" s="9"/>
      <c r="E45" s="9"/>
      <c r="F45" s="9"/>
      <c r="G45" s="9"/>
      <c r="H45" s="9"/>
      <c r="I45" s="9"/>
      <c r="J45" s="9"/>
    </row>
    <row r="46" spans="1:10" ht="36" customHeight="1">
      <c r="A46" s="4" t="s">
        <v>2380</v>
      </c>
      <c r="B46" s="7" t="s">
        <v>2381</v>
      </c>
      <c r="C46" s="4" t="s">
        <v>2382</v>
      </c>
      <c r="D46" s="7" t="s">
        <v>817</v>
      </c>
      <c r="E46" s="12">
        <v>564.5700000000001</v>
      </c>
      <c r="F46" s="7">
        <v>4</v>
      </c>
      <c r="G46" s="7">
        <v>456</v>
      </c>
      <c r="H46" s="7" t="s">
        <v>852</v>
      </c>
      <c r="I46" s="7" t="s">
        <v>852</v>
      </c>
      <c r="J46" s="4" t="s">
        <v>2383</v>
      </c>
    </row>
    <row r="47" spans="1:10" ht="36" customHeight="1">
      <c r="A47" s="4" t="s">
        <v>2380</v>
      </c>
      <c r="B47" s="7" t="s">
        <v>2384</v>
      </c>
      <c r="C47" s="4" t="s">
        <v>2385</v>
      </c>
      <c r="D47" s="7" t="s">
        <v>817</v>
      </c>
      <c r="E47" s="12">
        <v>147.89</v>
      </c>
      <c r="F47" s="7">
        <v>5</v>
      </c>
      <c r="G47" s="7">
        <v>173100</v>
      </c>
      <c r="H47" s="7" t="s">
        <v>852</v>
      </c>
      <c r="I47" s="7" t="s">
        <v>852</v>
      </c>
      <c r="J47" s="4" t="s">
        <v>2386</v>
      </c>
    </row>
    <row r="48" spans="1:10" ht="36" customHeight="1">
      <c r="A48" s="4" t="s">
        <v>2380</v>
      </c>
      <c r="B48" s="7" t="s">
        <v>2387</v>
      </c>
      <c r="C48" s="4" t="s">
        <v>2388</v>
      </c>
      <c r="D48" s="7" t="s">
        <v>817</v>
      </c>
      <c r="E48" s="12">
        <v>90.37</v>
      </c>
      <c r="F48" s="7">
        <v>1</v>
      </c>
      <c r="G48" s="7">
        <v>148400</v>
      </c>
      <c r="H48" s="7" t="s">
        <v>852</v>
      </c>
      <c r="I48" s="7" t="s">
        <v>852</v>
      </c>
      <c r="J48" s="4" t="s">
        <v>2389</v>
      </c>
    </row>
    <row r="49" spans="1:10" ht="36" customHeight="1">
      <c r="A49" s="4" t="s">
        <v>2380</v>
      </c>
      <c r="B49" s="7" t="s">
        <v>2390</v>
      </c>
      <c r="C49" s="4" t="s">
        <v>2391</v>
      </c>
      <c r="D49" s="7" t="s">
        <v>817</v>
      </c>
      <c r="E49" s="12">
        <v>110.29</v>
      </c>
      <c r="F49" s="7">
        <v>2</v>
      </c>
      <c r="G49" s="7">
        <v>93600</v>
      </c>
      <c r="H49" s="7" t="s">
        <v>852</v>
      </c>
      <c r="I49" s="7" t="s">
        <v>852</v>
      </c>
      <c r="J49" s="4" t="s">
        <v>2392</v>
      </c>
    </row>
    <row r="50" spans="1:10" ht="18" customHeight="1">
      <c r="A50" s="9" t="s">
        <v>2393</v>
      </c>
      <c r="B50" s="9"/>
      <c r="C50" s="9"/>
      <c r="D50" s="9"/>
      <c r="E50" s="9"/>
      <c r="F50" s="9"/>
      <c r="G50" s="9"/>
      <c r="H50" s="9"/>
      <c r="I50" s="9"/>
      <c r="J50" s="9"/>
    </row>
    <row r="51" spans="1:10" ht="36" customHeight="1">
      <c r="A51" s="4" t="s">
        <v>2393</v>
      </c>
      <c r="B51" s="7" t="s">
        <v>2394</v>
      </c>
      <c r="C51" s="4" t="s">
        <v>2395</v>
      </c>
      <c r="D51" s="7" t="s">
        <v>710</v>
      </c>
      <c r="E51" s="12">
        <v>25.83</v>
      </c>
      <c r="F51" s="7">
        <v>5</v>
      </c>
      <c r="G51" s="7">
        <v>20160</v>
      </c>
      <c r="H51" s="7" t="s">
        <v>852</v>
      </c>
      <c r="I51" s="7" t="s">
        <v>852</v>
      </c>
      <c r="J51" s="4" t="s">
        <v>2396</v>
      </c>
    </row>
    <row r="52" spans="1:10" ht="18" customHeight="1">
      <c r="A52" s="9" t="s">
        <v>2162</v>
      </c>
      <c r="B52" s="9"/>
      <c r="C52" s="9"/>
      <c r="D52" s="9"/>
      <c r="E52" s="9"/>
      <c r="F52" s="9"/>
      <c r="G52" s="9"/>
      <c r="H52" s="9"/>
      <c r="I52" s="9"/>
      <c r="J52" s="9"/>
    </row>
    <row r="53" spans="1:10" ht="36" customHeight="1">
      <c r="A53" s="4" t="s">
        <v>2162</v>
      </c>
      <c r="B53" s="7" t="s">
        <v>2397</v>
      </c>
      <c r="C53" s="4" t="s">
        <v>2398</v>
      </c>
      <c r="D53" s="7" t="s">
        <v>710</v>
      </c>
      <c r="E53" s="12">
        <v>15.16</v>
      </c>
      <c r="F53" s="7">
        <v>9</v>
      </c>
      <c r="G53" s="7">
        <v>3575</v>
      </c>
      <c r="H53" s="11">
        <v>18</v>
      </c>
      <c r="I53" s="11">
        <v>28</v>
      </c>
      <c r="J53" s="22" t="s">
        <v>2399</v>
      </c>
    </row>
    <row r="54" spans="1:10" ht="36" customHeight="1">
      <c r="A54" s="4" t="s">
        <v>2162</v>
      </c>
      <c r="B54" s="7" t="s">
        <v>2400</v>
      </c>
      <c r="C54" s="4" t="s">
        <v>2401</v>
      </c>
      <c r="D54" s="7" t="s">
        <v>2297</v>
      </c>
      <c r="E54" s="12">
        <v>2.82</v>
      </c>
      <c r="F54" s="7">
        <v>1</v>
      </c>
      <c r="G54" s="7">
        <v>7600</v>
      </c>
      <c r="H54" s="11">
        <v>3</v>
      </c>
      <c r="I54" s="11">
        <v>6</v>
      </c>
      <c r="J54" s="22" t="s">
        <v>2402</v>
      </c>
    </row>
    <row r="55" spans="1:10" ht="18" customHeight="1">
      <c r="A55" s="9" t="s">
        <v>1290</v>
      </c>
      <c r="B55" s="9"/>
      <c r="C55" s="9"/>
      <c r="D55" s="9"/>
      <c r="E55" s="9"/>
      <c r="F55" s="9"/>
      <c r="G55" s="9"/>
      <c r="H55" s="9"/>
      <c r="I55" s="9"/>
      <c r="J55" s="9"/>
    </row>
    <row r="56" spans="1:10" ht="36" customHeight="1">
      <c r="A56" s="4" t="s">
        <v>1290</v>
      </c>
      <c r="B56" s="7" t="s">
        <v>2403</v>
      </c>
      <c r="C56" s="4" t="s">
        <v>2404</v>
      </c>
      <c r="D56" s="7" t="s">
        <v>1104</v>
      </c>
      <c r="E56" s="12">
        <v>3901.31</v>
      </c>
      <c r="F56" s="7">
        <v>7</v>
      </c>
      <c r="G56" s="7">
        <v>42</v>
      </c>
      <c r="H56" s="7" t="s">
        <v>852</v>
      </c>
      <c r="I56" s="7" t="s">
        <v>852</v>
      </c>
      <c r="J56" s="4" t="s">
        <v>2405</v>
      </c>
    </row>
    <row r="57" spans="1:10" ht="36" customHeight="1">
      <c r="A57" s="4" t="s">
        <v>1290</v>
      </c>
      <c r="B57" s="7" t="s">
        <v>2406</v>
      </c>
      <c r="C57" s="4" t="s">
        <v>2407</v>
      </c>
      <c r="D57" s="7" t="s">
        <v>1104</v>
      </c>
      <c r="E57" s="12">
        <v>13211.8</v>
      </c>
      <c r="F57" s="7">
        <v>2</v>
      </c>
      <c r="G57" s="7">
        <v>11</v>
      </c>
      <c r="H57" s="7" t="s">
        <v>852</v>
      </c>
      <c r="I57" s="7" t="s">
        <v>852</v>
      </c>
      <c r="J57" s="4" t="s">
        <v>2408</v>
      </c>
    </row>
    <row r="58" spans="1:10" ht="36" customHeight="1">
      <c r="A58" s="4" t="s">
        <v>1290</v>
      </c>
      <c r="B58" s="7" t="s">
        <v>2409</v>
      </c>
      <c r="C58" s="4" t="s">
        <v>2410</v>
      </c>
      <c r="D58" s="7" t="s">
        <v>1104</v>
      </c>
      <c r="E58" s="12">
        <v>13956.52</v>
      </c>
      <c r="F58" s="7">
        <v>9</v>
      </c>
      <c r="G58" s="7">
        <v>26</v>
      </c>
      <c r="H58" s="7" t="s">
        <v>852</v>
      </c>
      <c r="I58" s="7" t="s">
        <v>852</v>
      </c>
      <c r="J58" s="4" t="s">
        <v>2411</v>
      </c>
    </row>
    <row r="59" spans="1:10" ht="18" customHeight="1">
      <c r="A59" s="9" t="s">
        <v>2412</v>
      </c>
      <c r="B59" s="9"/>
      <c r="C59" s="9"/>
      <c r="D59" s="9"/>
      <c r="E59" s="9"/>
      <c r="F59" s="9"/>
      <c r="G59" s="9"/>
      <c r="H59" s="9"/>
      <c r="I59" s="9"/>
      <c r="J59" s="9"/>
    </row>
    <row r="60" spans="1:10" ht="36" customHeight="1">
      <c r="A60" s="4" t="s">
        <v>2412</v>
      </c>
      <c r="B60" s="7" t="s">
        <v>2413</v>
      </c>
      <c r="C60" s="4" t="s">
        <v>2414</v>
      </c>
      <c r="D60" s="7" t="s">
        <v>1065</v>
      </c>
      <c r="E60" s="12">
        <v>2083.45</v>
      </c>
      <c r="F60" s="7">
        <v>10</v>
      </c>
      <c r="G60" s="7">
        <v>196</v>
      </c>
      <c r="H60" s="7" t="s">
        <v>852</v>
      </c>
      <c r="I60" s="7" t="s">
        <v>852</v>
      </c>
      <c r="J60" s="4" t="s">
        <v>2415</v>
      </c>
    </row>
    <row r="61" spans="1:10" ht="36" customHeight="1">
      <c r="A61" s="4" t="s">
        <v>2412</v>
      </c>
      <c r="B61" s="7" t="s">
        <v>2416</v>
      </c>
      <c r="C61" s="4" t="s">
        <v>2417</v>
      </c>
      <c r="D61" s="7" t="s">
        <v>1065</v>
      </c>
      <c r="E61" s="12">
        <v>22420.09</v>
      </c>
      <c r="F61" s="7">
        <v>3</v>
      </c>
      <c r="G61" s="7">
        <v>2</v>
      </c>
      <c r="H61" s="7" t="s">
        <v>852</v>
      </c>
      <c r="I61" s="7" t="s">
        <v>852</v>
      </c>
      <c r="J61" s="4" t="s">
        <v>2418</v>
      </c>
    </row>
    <row r="62" spans="1:10" ht="18" customHeight="1">
      <c r="A62" s="9" t="s">
        <v>2419</v>
      </c>
      <c r="B62" s="9"/>
      <c r="C62" s="9"/>
      <c r="D62" s="9"/>
      <c r="E62" s="9"/>
      <c r="F62" s="9"/>
      <c r="G62" s="9"/>
      <c r="H62" s="9"/>
      <c r="I62" s="9"/>
      <c r="J62" s="9"/>
    </row>
    <row r="63" spans="1:10" ht="36" customHeight="1">
      <c r="A63" s="4" t="s">
        <v>2419</v>
      </c>
      <c r="B63" s="7" t="s">
        <v>2420</v>
      </c>
      <c r="C63" s="4" t="s">
        <v>2421</v>
      </c>
      <c r="D63" s="7" t="s">
        <v>2297</v>
      </c>
      <c r="E63" s="12">
        <v>3.03</v>
      </c>
      <c r="F63" s="7">
        <v>3</v>
      </c>
      <c r="G63" s="7">
        <v>650050</v>
      </c>
      <c r="H63" s="7" t="s">
        <v>852</v>
      </c>
      <c r="I63" s="7" t="s">
        <v>852</v>
      </c>
      <c r="J63" s="4" t="s">
        <v>2422</v>
      </c>
    </row>
    <row r="64" spans="1:10" ht="18" customHeight="1">
      <c r="A64" s="9" t="s">
        <v>2423</v>
      </c>
      <c r="B64" s="9"/>
      <c r="C64" s="9"/>
      <c r="D64" s="9"/>
      <c r="E64" s="9"/>
      <c r="F64" s="9"/>
      <c r="G64" s="9"/>
      <c r="H64" s="9"/>
      <c r="I64" s="9"/>
      <c r="J64" s="9"/>
    </row>
    <row r="65" spans="1:10" ht="36" customHeight="1">
      <c r="A65" s="4" t="s">
        <v>2423</v>
      </c>
      <c r="B65" s="7" t="s">
        <v>2423</v>
      </c>
      <c r="C65" s="4" t="s">
        <v>2424</v>
      </c>
      <c r="D65" s="7" t="s">
        <v>2297</v>
      </c>
      <c r="E65" s="12">
        <v>6.38</v>
      </c>
      <c r="F65" s="7">
        <v>9</v>
      </c>
      <c r="G65" s="7">
        <v>320676</v>
      </c>
      <c r="H65" s="7" t="s">
        <v>852</v>
      </c>
      <c r="I65" s="7" t="s">
        <v>852</v>
      </c>
      <c r="J65" s="4" t="s">
        <v>2425</v>
      </c>
    </row>
    <row r="66" spans="1:10" ht="18" customHeight="1">
      <c r="A66" s="9" t="s">
        <v>2426</v>
      </c>
      <c r="B66" s="9"/>
      <c r="C66" s="9"/>
      <c r="D66" s="9"/>
      <c r="E66" s="9"/>
      <c r="F66" s="9"/>
      <c r="G66" s="9"/>
      <c r="H66" s="9"/>
      <c r="I66" s="9"/>
      <c r="J66" s="9"/>
    </row>
    <row r="67" spans="1:10" ht="36" customHeight="1">
      <c r="A67" s="4" t="s">
        <v>2426</v>
      </c>
      <c r="B67" s="7" t="s">
        <v>2427</v>
      </c>
      <c r="C67" s="4" t="s">
        <v>2428</v>
      </c>
      <c r="D67" s="7" t="s">
        <v>710</v>
      </c>
      <c r="E67" s="12">
        <v>170.32</v>
      </c>
      <c r="F67" s="7">
        <v>2</v>
      </c>
      <c r="G67" s="7">
        <v>3145</v>
      </c>
      <c r="H67" s="11">
        <v>185</v>
      </c>
      <c r="I67" s="11">
        <v>265</v>
      </c>
      <c r="J67" s="22" t="s">
        <v>2429</v>
      </c>
    </row>
    <row r="68" spans="1:10" ht="36" customHeight="1">
      <c r="A68" s="4" t="s">
        <v>2426</v>
      </c>
      <c r="B68" s="7" t="s">
        <v>2430</v>
      </c>
      <c r="C68" s="4" t="s">
        <v>2431</v>
      </c>
      <c r="D68" s="7" t="s">
        <v>710</v>
      </c>
      <c r="E68" s="12">
        <v>42.05</v>
      </c>
      <c r="F68" s="7">
        <v>2</v>
      </c>
      <c r="G68" s="7">
        <v>3125</v>
      </c>
      <c r="H68" s="7" t="s">
        <v>852</v>
      </c>
      <c r="I68" s="7" t="s">
        <v>852</v>
      </c>
      <c r="J68" s="4" t="s">
        <v>2432</v>
      </c>
    </row>
    <row r="69" spans="1:10" ht="18" customHeight="1">
      <c r="A69" s="9" t="s">
        <v>2433</v>
      </c>
      <c r="B69" s="9"/>
      <c r="C69" s="9"/>
      <c r="D69" s="9"/>
      <c r="E69" s="9"/>
      <c r="F69" s="9"/>
      <c r="G69" s="9"/>
      <c r="H69" s="9"/>
      <c r="I69" s="9"/>
      <c r="J69" s="9"/>
    </row>
    <row r="70" spans="1:10" ht="36" customHeight="1">
      <c r="A70" s="4" t="s">
        <v>2433</v>
      </c>
      <c r="B70" s="7" t="s">
        <v>2434</v>
      </c>
      <c r="C70" s="4" t="s">
        <v>2435</v>
      </c>
      <c r="D70" s="7" t="s">
        <v>710</v>
      </c>
      <c r="E70" s="12">
        <v>65.34</v>
      </c>
      <c r="F70" s="7">
        <v>5</v>
      </c>
      <c r="G70" s="7">
        <v>1313</v>
      </c>
      <c r="H70" s="7" t="s">
        <v>852</v>
      </c>
      <c r="I70" s="7" t="s">
        <v>852</v>
      </c>
      <c r="J70" s="4" t="s">
        <v>2436</v>
      </c>
    </row>
    <row r="71" spans="1:10" ht="36" customHeight="1">
      <c r="A71" s="4" t="s">
        <v>2433</v>
      </c>
      <c r="B71" s="7" t="s">
        <v>2437</v>
      </c>
      <c r="C71" s="4" t="s">
        <v>2438</v>
      </c>
      <c r="D71" s="7" t="s">
        <v>716</v>
      </c>
      <c r="E71" s="12">
        <v>4759.94</v>
      </c>
      <c r="F71" s="7">
        <v>3</v>
      </c>
      <c r="G71" s="7">
        <v>47</v>
      </c>
      <c r="H71" s="11">
        <v>1850</v>
      </c>
      <c r="I71" s="11">
        <v>3500</v>
      </c>
      <c r="J71" s="24" t="s">
        <v>2439</v>
      </c>
    </row>
    <row r="72" spans="1:10" ht="36" customHeight="1">
      <c r="A72" s="4" t="s">
        <v>2433</v>
      </c>
      <c r="B72" s="7" t="s">
        <v>2440</v>
      </c>
      <c r="C72" s="4" t="s">
        <v>2441</v>
      </c>
      <c r="D72" s="7" t="s">
        <v>716</v>
      </c>
      <c r="E72" s="12">
        <v>3480.95</v>
      </c>
      <c r="F72" s="7">
        <v>3</v>
      </c>
      <c r="G72" s="7">
        <v>223</v>
      </c>
      <c r="H72" s="11">
        <v>1850</v>
      </c>
      <c r="I72" s="11">
        <v>3500</v>
      </c>
      <c r="J72" s="23" t="s">
        <v>2442</v>
      </c>
    </row>
    <row r="74" spans="1:10" ht="22" customHeight="1">
      <c r="A74" s="5" t="s">
        <v>2443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ht="30" customHeight="1">
      <c r="A75" s="4" t="s">
        <v>2444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ht="30" customHeight="1">
      <c r="A76" s="4" t="s">
        <v>2445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 ht="30" customHeight="1">
      <c r="A77" s="4" t="s">
        <v>2446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 ht="30" customHeight="1">
      <c r="A78" s="4" t="s">
        <v>2447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ht="30" customHeight="1">
      <c r="A79" s="4" t="s">
        <v>2448</v>
      </c>
      <c r="B79" s="4"/>
      <c r="C79" s="4"/>
      <c r="D79" s="4"/>
      <c r="E79" s="4"/>
      <c r="F79" s="4"/>
      <c r="G79" s="4"/>
      <c r="H79" s="4"/>
      <c r="I79" s="4"/>
      <c r="J79" s="4"/>
    </row>
    <row r="81" spans="1:10" ht="22" customHeight="1">
      <c r="A81" s="5" t="s">
        <v>2449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 ht="22" customHeight="1">
      <c r="A82" s="7" t="s">
        <v>2450</v>
      </c>
      <c r="B82" s="4" t="s">
        <v>2451</v>
      </c>
      <c r="C82" s="4"/>
      <c r="D82" s="4"/>
      <c r="E82" s="4"/>
      <c r="F82" s="4" t="s">
        <v>2452</v>
      </c>
      <c r="G82" s="4"/>
      <c r="H82" s="4"/>
      <c r="I82" s="4"/>
      <c r="J82" s="4"/>
    </row>
    <row r="83" spans="1:10" ht="22" customHeight="1">
      <c r="A83" s="7" t="s">
        <v>2450</v>
      </c>
      <c r="B83" s="4" t="s">
        <v>2453</v>
      </c>
      <c r="C83" s="4"/>
      <c r="D83" s="4"/>
      <c r="E83" s="4"/>
      <c r="F83" s="4" t="s">
        <v>2454</v>
      </c>
      <c r="G83" s="4"/>
      <c r="H83" s="4"/>
      <c r="I83" s="4"/>
      <c r="J83" s="4"/>
    </row>
    <row r="84" spans="1:10" ht="22" customHeight="1">
      <c r="A84" s="7" t="s">
        <v>2450</v>
      </c>
      <c r="B84" s="4" t="s">
        <v>2455</v>
      </c>
      <c r="C84" s="4"/>
      <c r="D84" s="4"/>
      <c r="E84" s="4"/>
      <c r="F84" s="4" t="s">
        <v>2456</v>
      </c>
      <c r="G84" s="4"/>
      <c r="H84" s="4"/>
      <c r="I84" s="4"/>
      <c r="J84" s="4"/>
    </row>
    <row r="85" spans="1:10" ht="22" customHeight="1">
      <c r="A85" s="7" t="s">
        <v>2450</v>
      </c>
      <c r="B85" s="4" t="s">
        <v>2457</v>
      </c>
      <c r="C85" s="4"/>
      <c r="D85" s="4"/>
      <c r="E85" s="4"/>
      <c r="F85" s="4" t="s">
        <v>2458</v>
      </c>
      <c r="G85" s="4"/>
      <c r="H85" s="4"/>
      <c r="I85" s="4"/>
      <c r="J85" s="4"/>
    </row>
    <row r="86" spans="1:10" ht="22" customHeight="1">
      <c r="A86" s="7" t="s">
        <v>2450</v>
      </c>
      <c r="B86" s="4" t="s">
        <v>2459</v>
      </c>
      <c r="C86" s="4"/>
      <c r="D86" s="4"/>
      <c r="E86" s="4"/>
      <c r="F86" s="4" t="s">
        <v>2460</v>
      </c>
      <c r="G86" s="4"/>
      <c r="H86" s="4"/>
      <c r="I86" s="4"/>
      <c r="J86" s="4"/>
    </row>
    <row r="87" spans="1:10" ht="22" customHeight="1">
      <c r="A87" s="7" t="s">
        <v>2450</v>
      </c>
      <c r="B87" s="4" t="s">
        <v>2461</v>
      </c>
      <c r="C87" s="4"/>
      <c r="D87" s="4"/>
      <c r="E87" s="4"/>
      <c r="F87" s="4" t="s">
        <v>2462</v>
      </c>
      <c r="G87" s="4"/>
      <c r="H87" s="4"/>
      <c r="I87" s="4"/>
      <c r="J87" s="4"/>
    </row>
    <row r="88" spans="1:10" ht="22" customHeight="1">
      <c r="A88" s="7" t="s">
        <v>2450</v>
      </c>
      <c r="B88" s="4" t="s">
        <v>2463</v>
      </c>
      <c r="C88" s="4"/>
      <c r="D88" s="4"/>
      <c r="E88" s="4"/>
      <c r="F88" s="4" t="s">
        <v>2464</v>
      </c>
      <c r="G88" s="4"/>
      <c r="H88" s="4"/>
      <c r="I88" s="4"/>
      <c r="J88" s="4"/>
    </row>
    <row r="89" spans="1:10" ht="22" customHeight="1">
      <c r="A89" s="7" t="s">
        <v>2450</v>
      </c>
      <c r="B89" s="4" t="s">
        <v>2465</v>
      </c>
      <c r="C89" s="4"/>
      <c r="D89" s="4"/>
      <c r="E89" s="4"/>
      <c r="F89" s="4" t="s">
        <v>2466</v>
      </c>
      <c r="G89" s="4"/>
      <c r="H89" s="4"/>
      <c r="I89" s="4"/>
      <c r="J89" s="4"/>
    </row>
    <row r="90" spans="1:10" ht="22" customHeight="1">
      <c r="A90" s="7" t="s">
        <v>2450</v>
      </c>
      <c r="B90" s="4" t="s">
        <v>2467</v>
      </c>
      <c r="C90" s="4"/>
      <c r="D90" s="4"/>
      <c r="E90" s="4"/>
      <c r="F90" s="4" t="s">
        <v>2468</v>
      </c>
      <c r="G90" s="4"/>
      <c r="H90" s="4"/>
      <c r="I90" s="4"/>
      <c r="J90" s="4"/>
    </row>
    <row r="91" spans="1:10" ht="22" customHeight="1">
      <c r="A91" s="7" t="s">
        <v>2450</v>
      </c>
      <c r="B91" s="4" t="s">
        <v>2469</v>
      </c>
      <c r="C91" s="4"/>
      <c r="D91" s="4"/>
      <c r="E91" s="4"/>
      <c r="F91" s="4" t="s">
        <v>2470</v>
      </c>
      <c r="G91" s="4"/>
      <c r="H91" s="4"/>
      <c r="I91" s="4"/>
      <c r="J91" s="4"/>
    </row>
    <row r="92" spans="1:10" ht="22" customHeight="1">
      <c r="A92" s="7" t="s">
        <v>2450</v>
      </c>
      <c r="B92" s="4" t="s">
        <v>2471</v>
      </c>
      <c r="C92" s="4"/>
      <c r="D92" s="4"/>
      <c r="E92" s="4"/>
      <c r="F92" s="4" t="s">
        <v>2472</v>
      </c>
      <c r="G92" s="4"/>
      <c r="H92" s="4"/>
      <c r="I92" s="4"/>
      <c r="J92" s="4"/>
    </row>
  </sheetData>
  <mergeCells count="47">
    <mergeCell ref="A1:J1"/>
    <mergeCell ref="A2:J2"/>
    <mergeCell ref="A3:J3"/>
    <mergeCell ref="A4:J4"/>
    <mergeCell ref="A6:J6"/>
    <mergeCell ref="A15:J15"/>
    <mergeCell ref="A21:J21"/>
    <mergeCell ref="A33:J33"/>
    <mergeCell ref="A39:J39"/>
    <mergeCell ref="A45:J45"/>
    <mergeCell ref="A50:J50"/>
    <mergeCell ref="A52:J52"/>
    <mergeCell ref="A55:J55"/>
    <mergeCell ref="A59:J59"/>
    <mergeCell ref="A62:J62"/>
    <mergeCell ref="A64:J64"/>
    <mergeCell ref="A66:J66"/>
    <mergeCell ref="A69:J69"/>
    <mergeCell ref="A74:J74"/>
    <mergeCell ref="A75:J75"/>
    <mergeCell ref="A76:J76"/>
    <mergeCell ref="A77:J77"/>
    <mergeCell ref="A78:J78"/>
    <mergeCell ref="A79:J79"/>
    <mergeCell ref="A81:J81"/>
    <mergeCell ref="B82:E82"/>
    <mergeCell ref="F82:J82"/>
    <mergeCell ref="B83:E83"/>
    <mergeCell ref="F83:J83"/>
    <mergeCell ref="B84:E84"/>
    <mergeCell ref="F84:J84"/>
    <mergeCell ref="B85:E85"/>
    <mergeCell ref="F85:J85"/>
    <mergeCell ref="B86:E86"/>
    <mergeCell ref="F86:J86"/>
    <mergeCell ref="B87:E87"/>
    <mergeCell ref="F87:J87"/>
    <mergeCell ref="B88:E88"/>
    <mergeCell ref="F88:J88"/>
    <mergeCell ref="B89:E89"/>
    <mergeCell ref="F89:J89"/>
    <mergeCell ref="B90:E90"/>
    <mergeCell ref="F90:J90"/>
    <mergeCell ref="B91:E91"/>
    <mergeCell ref="F91:J91"/>
    <mergeCell ref="B92:E92"/>
    <mergeCell ref="F92:J92"/>
  </mergeCells>
  <hyperlinks>
    <hyperlink ref="F82" r:id="rId1"/>
    <hyperlink ref="F83" r:id="rId2"/>
    <hyperlink ref="F84" r:id="rId3"/>
    <hyperlink ref="F85" r:id="rId4"/>
    <hyperlink ref="F86" r:id="rId5"/>
    <hyperlink ref="F87" r:id="rId6"/>
    <hyperlink ref="F88" r:id="rId7"/>
    <hyperlink ref="F89" r:id="rId8"/>
    <hyperlink ref="F90" r:id="rId9"/>
    <hyperlink ref="F91" r:id="rId10"/>
    <hyperlink ref="F9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 Cover</vt:lpstr>
      <vt:lpstr>01 Contents</vt:lpstr>
      <vt:lpstr>02 Executive Summary</vt:lpstr>
      <vt:lpstr>03 Estimating Standards</vt:lpstr>
      <vt:lpstr>04 Crew Compositions</vt:lpstr>
      <vt:lpstr>05 Labour Rates</vt:lpstr>
      <vt:lpstr>06 Equipment Rates</vt:lpstr>
      <vt:lpstr>07 Equipment Spreads</vt:lpstr>
      <vt:lpstr>08 SoR Master</vt:lpstr>
      <vt:lpstr>09 Unit Rate Calculator</vt:lpstr>
      <vt:lpstr>10 Bid Screening</vt:lpstr>
      <vt:lpstr>11 Contractor Indirects</vt:lpstr>
      <vt:lpstr>12 Bonding &amp; Insurance</vt:lpstr>
      <vt:lpstr>13 Standby &amp; Schedule</vt:lpstr>
      <vt:lpstr>14 SME Factors</vt:lpstr>
      <vt:lpstr>15 Bid Cost Structure</vt:lpstr>
      <vt:lpstr>16 Mob Demob Logic</vt:lpstr>
      <vt:lpstr>17 Constructability</vt:lpstr>
      <vt:lpstr>18 Inclusions Exclusions</vt:lpstr>
      <vt:lpstr>19 Bid Leveling</vt:lpstr>
      <vt:lpstr>20 Change Order Pricing</vt:lpstr>
      <vt:lpstr>21 Project Roll-Up</vt:lpstr>
      <vt:lpstr>22 Risk Register</vt:lpstr>
      <vt:lpstr>23 Glossary</vt:lpstr>
      <vt:lpstr>24 References</vt:lpstr>
      <vt:lpstr>25 Real Market 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2026-05-17T11:09:49Z</dcterms:created>
  <dcterms:modified xsi:type="dcterms:W3CDTF">2026-05-17T11:09:49Z</dcterms:modified>
</cp:coreProperties>
</file>