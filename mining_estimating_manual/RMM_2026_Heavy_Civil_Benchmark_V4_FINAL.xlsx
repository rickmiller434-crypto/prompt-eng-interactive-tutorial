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Cover" sheetId="1" state="visible" r:id="rId1"/>
    <sheet xmlns:r="http://schemas.openxmlformats.org/officeDocument/2006/relationships" name="01 Rate Schedule" sheetId="2" state="visible" r:id="rId2"/>
    <sheet xmlns:r="http://schemas.openxmlformats.org/officeDocument/2006/relationships" name="02 Equipment Rates" sheetId="3" state="visible" r:id="rId3"/>
    <sheet xmlns:r="http://schemas.openxmlformats.org/officeDocument/2006/relationships" name="03 Regional Adjustors" sheetId="4" state="visible" r:id="rId4"/>
    <sheet xmlns:r="http://schemas.openxmlformats.org/officeDocument/2006/relationships" name="04 Vetting Workflow" sheetId="5" state="visible" r:id="rId5"/>
    <sheet xmlns:r="http://schemas.openxmlformats.org/officeDocument/2006/relationships" name="05 Sources &amp; Methodology" sheetId="6" state="visible" r:id="rId6"/>
    <sheet xmlns:r="http://schemas.openxmlformats.org/officeDocument/2006/relationships" name="06 Coverage Summary" sheetId="7" state="visible" r:id="rId7"/>
    <sheet xmlns:r="http://schemas.openxmlformats.org/officeDocument/2006/relationships" name="07 Project Pricing" sheetId="8" state="visible" r:id="rId8"/>
    <sheet xmlns:r="http://schemas.openxmlformats.org/officeDocument/2006/relationships" name="08 Data Integrity QC"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00"/>
    <numFmt numFmtId="165" formatCode="0.0%;\-0.0%;&quot;&quot;"/>
    <numFmt numFmtId="166" formatCode="\$#,##0"/>
    <numFmt numFmtId="167" formatCode="0.0%"/>
    <numFmt numFmtId="168" formatCode="0%;\-0%;&quot;&quot;"/>
    <numFmt numFmtId="169" formatCode="&quot;$&quot;#,##0.00"/>
  </numFmts>
  <fonts count="32">
    <font>
      <name val="Calibri"/>
      <charset val="1"/>
      <family val="2"/>
      <color theme="1"/>
      <sz val="11"/>
    </font>
    <font>
      <name val="Arial"/>
      <family val="0"/>
      <sz val="10"/>
    </font>
    <font>
      <name val="Arial"/>
      <family val="0"/>
      <sz val="10"/>
    </font>
    <font>
      <name val="Arial"/>
      <family val="0"/>
      <sz val="10"/>
    </font>
    <font>
      <name val="Calibri"/>
      <charset val="1"/>
      <family val="2"/>
      <b val="1"/>
      <color rgb="FFFFFFFF"/>
      <sz val="16"/>
    </font>
    <font>
      <name val="Calibri"/>
      <charset val="1"/>
      <family val="2"/>
      <i val="1"/>
      <color rgb="FF0F2F4D"/>
      <sz val="10"/>
    </font>
    <font>
      <name val="Calibri"/>
      <charset val="1"/>
      <family val="2"/>
      <color theme="1"/>
      <sz val="9"/>
    </font>
    <font>
      <name val="Calibri"/>
      <charset val="1"/>
      <family val="0"/>
      <b val="1"/>
      <sz val="11"/>
    </font>
    <font>
      <name val="Calibri"/>
      <charset val="1"/>
      <family val="0"/>
      <sz val="10"/>
    </font>
    <font>
      <name val="Calibri"/>
      <charset val="1"/>
      <family val="2"/>
      <b val="1"/>
      <color rgb="FFFFFFFF"/>
      <sz val="10"/>
    </font>
    <font>
      <name val="Calibri"/>
      <charset val="1"/>
      <family val="0"/>
      <b val="1"/>
      <color rgb="FFFFFFFF"/>
      <sz val="11"/>
    </font>
    <font>
      <name val="Calibri"/>
      <charset val="1"/>
      <family val="2"/>
      <b val="1"/>
      <color rgb="FF0F2F4D"/>
      <sz val="9"/>
    </font>
    <font>
      <name val="Calibri"/>
      <charset val="1"/>
      <family val="0"/>
      <b val="1"/>
      <color rgb="FF000000"/>
      <sz val="10"/>
    </font>
    <font>
      <name val="Calibri"/>
      <charset val="1"/>
      <family val="2"/>
      <b val="1"/>
      <color rgb="FF0F2F4D"/>
      <sz val="11"/>
    </font>
    <font>
      <name val="Calibri"/>
      <charset val="1"/>
      <family val="2"/>
      <b val="1"/>
      <color theme="1"/>
      <sz val="10"/>
    </font>
    <font>
      <name val="Calibri"/>
      <charset val="1"/>
      <family val="0"/>
      <color rgb="FF000000"/>
      <sz val="10"/>
    </font>
    <font>
      <name val="Calibri"/>
      <charset val="1"/>
      <family val="0"/>
      <i val="1"/>
      <color rgb="FF996600"/>
      <sz val="10"/>
    </font>
    <font>
      <name val="Calibri"/>
      <charset val="1"/>
      <family val="2"/>
      <color theme="1"/>
      <sz val="10"/>
    </font>
    <font>
      <name val="Calibri"/>
      <charset val="1"/>
      <family val="2"/>
      <b val="1"/>
      <color rgb="FFFFFFFF"/>
      <sz val="11"/>
    </font>
    <font>
      <name val="Calibri"/>
      <charset val="1"/>
      <family val="0"/>
      <b val="1"/>
      <color rgb="FF000000"/>
      <sz val="11"/>
    </font>
    <font>
      <name val="Calibri"/>
      <charset val="1"/>
      <family val="0"/>
      <b val="1"/>
      <color rgb="FFFFFFFF"/>
      <sz val="14"/>
    </font>
    <font>
      <name val="Calibri"/>
      <charset val="1"/>
      <family val="0"/>
      <i val="1"/>
      <color rgb="FF555555"/>
      <sz val="9"/>
    </font>
    <font>
      <name val="Calibri"/>
      <charset val="1"/>
      <family val="0"/>
      <b val="1"/>
      <color rgb="FF0070C0"/>
      <sz val="10"/>
    </font>
    <font>
      <name val="Calibri"/>
      <charset val="1"/>
      <family val="0"/>
      <color rgb="FF006100"/>
      <sz val="10"/>
    </font>
    <font>
      <name val="Calibri"/>
      <charset val="1"/>
      <family val="0"/>
      <b val="1"/>
      <color rgb="FFFFFFFF"/>
      <sz val="10"/>
    </font>
    <font>
      <name val="Calibri"/>
      <charset val="1"/>
      <family val="0"/>
      <b val="1"/>
      <color rgb="FFC00000"/>
      <sz val="10"/>
    </font>
    <font>
      <b val="1"/>
      <color rgb="00FFFFFF"/>
      <sz val="10"/>
    </font>
    <font>
      <b val="1"/>
      <color rgb="000F2F4D"/>
      <sz val="9"/>
    </font>
    <font>
      <color rgb="00000000"/>
      <sz val="9"/>
    </font>
    <font>
      <b val="1"/>
      <color rgb="00000000"/>
      <sz val="9"/>
    </font>
    <font>
      <sz val="9"/>
    </font>
    <font>
      <b val="1"/>
      <sz val="9"/>
    </font>
  </fonts>
  <fills count="35">
    <fill>
      <patternFill/>
    </fill>
    <fill>
      <patternFill patternType="gray125"/>
    </fill>
    <fill>
      <patternFill patternType="solid">
        <fgColor rgb="FF0F2F4D"/>
        <bgColor rgb="FF1F3864"/>
      </patternFill>
    </fill>
    <fill>
      <patternFill patternType="solid">
        <fgColor rgb="FFF4F6F8"/>
        <bgColor rgb="FFE8F1FB"/>
      </patternFill>
    </fill>
    <fill>
      <patternFill patternType="solid">
        <fgColor rgb="FF1F4E79"/>
        <bgColor rgb="FF1F3864"/>
      </patternFill>
    </fill>
    <fill>
      <patternFill patternType="solid">
        <fgColor rgb="FF2E8B57"/>
        <bgColor rgb="FF008080"/>
      </patternFill>
    </fill>
    <fill>
      <patternFill patternType="solid">
        <fgColor rgb="FF8E44AD"/>
        <bgColor rgb="FF666666"/>
      </patternFill>
    </fill>
    <fill>
      <patternFill patternType="solid">
        <fgColor rgb="FFD35400"/>
        <bgColor rgb="FFE8520A"/>
      </patternFill>
    </fill>
    <fill>
      <patternFill patternType="solid">
        <fgColor rgb="FF5D4037"/>
        <bgColor rgb="FF555555"/>
      </patternFill>
    </fill>
    <fill>
      <patternFill patternType="solid">
        <fgColor rgb="FFC9A227"/>
        <bgColor rgb="FFFFD54F"/>
      </patternFill>
    </fill>
    <fill>
      <patternFill patternType="solid">
        <fgColor rgb="FFA63232"/>
        <bgColor rgb="FFD35400"/>
      </patternFill>
    </fill>
    <fill>
      <patternFill patternType="solid">
        <fgColor rgb="FFE8F1FB"/>
        <bgColor rgb="FFE8F5E9"/>
      </patternFill>
    </fill>
    <fill>
      <patternFill patternType="solid">
        <fgColor rgb="FFD9D9D9"/>
        <bgColor rgb="FFD9E1F2"/>
      </patternFill>
    </fill>
    <fill>
      <patternFill patternType="solid">
        <fgColor rgb="FFE8F5E9"/>
        <bgColor rgb="FFE8F1FB"/>
      </patternFill>
    </fill>
    <fill>
      <patternFill patternType="solid">
        <fgColor rgb="FFF2E6F7"/>
        <bgColor rgb="FFEFEBE9"/>
      </patternFill>
    </fill>
    <fill>
      <patternFill patternType="solid">
        <fgColor rgb="FFFEF0E1"/>
        <bgColor rgb="FFFFEBEE"/>
      </patternFill>
    </fill>
    <fill>
      <patternFill patternType="solid">
        <fgColor rgb="FFEFEBE9"/>
        <bgColor rgb="FFF2E6F7"/>
      </patternFill>
    </fill>
    <fill>
      <patternFill patternType="solid">
        <fgColor rgb="FFFFF9C4"/>
        <bgColor rgb="FFFEF0E1"/>
      </patternFill>
    </fill>
    <fill>
      <patternFill patternType="solid">
        <fgColor rgb="FFFFEBEE"/>
        <bgColor rgb="FFFEF0E1"/>
      </patternFill>
    </fill>
    <fill>
      <patternFill patternType="solid">
        <fgColor rgb="FFFFD54F"/>
        <bgColor rgb="FFFFEB9C"/>
      </patternFill>
    </fill>
    <fill>
      <patternFill patternType="solid">
        <fgColor rgb="FFFFFF00"/>
        <bgColor rgb="FFFFD54F"/>
      </patternFill>
    </fill>
    <fill>
      <patternFill patternType="solid">
        <fgColor rgb="FFE8520A"/>
        <bgColor rgb="FFD35400"/>
      </patternFill>
    </fill>
    <fill>
      <patternFill patternType="solid">
        <fgColor rgb="FFE2EFDA"/>
        <bgColor rgb="FFE8F5E9"/>
      </patternFill>
    </fill>
    <fill>
      <patternFill patternType="solid">
        <fgColor rgb="FFD9E1F2"/>
        <bgColor rgb="FFD9D9D9"/>
      </patternFill>
    </fill>
    <fill>
      <patternFill patternType="solid">
        <fgColor rgb="FF8B0000"/>
        <bgColor rgb="FF9C0006"/>
      </patternFill>
    </fill>
    <fill>
      <patternFill patternType="solid">
        <fgColor rgb="00A63232"/>
        <bgColor rgb="00A63232"/>
      </patternFill>
    </fill>
    <fill>
      <patternFill patternType="solid">
        <fgColor rgb="000F2F4D"/>
        <bgColor rgb="000F2F4D"/>
      </patternFill>
    </fill>
    <fill>
      <patternFill patternType="solid">
        <fgColor rgb="00555555"/>
        <bgColor rgb="00555555"/>
      </patternFill>
    </fill>
    <fill>
      <patternFill patternType="solid">
        <fgColor rgb="00C9A227"/>
        <bgColor rgb="00C9A227"/>
      </patternFill>
    </fill>
    <fill>
      <patternFill patternType="solid">
        <fgColor rgb="00E8F1FB"/>
        <bgColor rgb="00E8F1FB"/>
      </patternFill>
    </fill>
    <fill>
      <patternFill patternType="solid">
        <fgColor rgb="00FFEBEE"/>
        <bgColor rgb="00FFEBEE"/>
      </patternFill>
    </fill>
    <fill>
      <patternFill patternType="solid">
        <fgColor rgb="00E8F5E9"/>
        <bgColor rgb="00E8F5E9"/>
      </patternFill>
    </fill>
    <fill>
      <patternFill patternType="solid">
        <fgColor rgb="00FFFDE7"/>
        <bgColor rgb="00FFFDE7"/>
      </patternFill>
    </fill>
    <fill>
      <patternFill patternType="solid">
        <fgColor rgb="00FFD54F"/>
        <bgColor rgb="00FFD54F"/>
      </patternFill>
    </fill>
    <fill>
      <patternFill patternType="solid">
        <fgColor rgb="00F0F0F0"/>
        <bgColor rgb="00F0F0F0"/>
      </patternFill>
    </fill>
  </fills>
  <borders count="22">
    <border>
      <left/>
      <right/>
      <top/>
      <bottom/>
      <diagonal/>
    </border>
    <border>
      <left style="thin">
        <color rgb="FFD9D9D9"/>
      </left>
      <right style="thin">
        <color rgb="FFD9D9D9"/>
      </right>
      <top style="thin">
        <color rgb="FFD9D9D9"/>
      </top>
      <bottom style="thin">
        <color rgb="FFD9D9D9"/>
      </bottom>
      <diagonal/>
    </border>
    <border>
      <left style="thin"/>
      <right style="thin"/>
      <top style="thin"/>
      <bottom style="thin"/>
      <diagonal/>
    </border>
    <border>
      <left style="thin">
        <color rgb="FF666666"/>
      </left>
      <right style="thin">
        <color rgb="FF666666"/>
      </right>
      <top style="thin">
        <color rgb="FF666666"/>
      </top>
      <bottom style="thin">
        <color rgb="FF666666"/>
      </bottom>
      <diagonal/>
    </border>
    <border>
      <left style="thin">
        <color rgb="FF0F2F4D"/>
      </left>
      <right style="thin">
        <color rgb="FF0F2F4D"/>
      </right>
      <top style="thin">
        <color rgb="FF0F2F4D"/>
      </top>
      <bottom style="thin">
        <color rgb="FF0F2F4D"/>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666666"/>
      </top>
      <bottom/>
      <diagonal/>
    </border>
    <border>
      <left/>
      <right style="thin">
        <color rgb="FF666666"/>
      </right>
      <top style="thin">
        <color rgb="FF666666"/>
      </top>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style="thin">
        <color rgb="00999999"/>
      </right>
      <top style="thin">
        <color rgb="00999999"/>
      </top>
      <bottom style="thin">
        <color rgb="00999999"/>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6">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general" vertical="center"/>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4" borderId="2" applyAlignment="1" pivotButton="0" quotePrefix="0" xfId="0">
      <alignment horizontal="center" vertical="bottom" wrapText="1"/>
    </xf>
    <xf numFmtId="0" fontId="9" fillId="5" borderId="2" applyAlignment="1" pivotButton="0" quotePrefix="0" xfId="0">
      <alignment horizontal="center" vertical="bottom" wrapText="1"/>
    </xf>
    <xf numFmtId="0" fontId="9" fillId="6" borderId="2" applyAlignment="1" pivotButton="0" quotePrefix="0" xfId="0">
      <alignment horizontal="center" vertical="bottom" wrapText="1"/>
    </xf>
    <xf numFmtId="0" fontId="9" fillId="7" borderId="2" applyAlignment="1" pivotButton="0" quotePrefix="0" xfId="0">
      <alignment horizontal="center" vertical="bottom" wrapText="1"/>
    </xf>
    <xf numFmtId="0" fontId="9" fillId="8" borderId="2" applyAlignment="1" pivotButton="0" quotePrefix="0" xfId="0">
      <alignment horizontal="center" vertical="bottom" wrapText="1"/>
    </xf>
    <xf numFmtId="0" fontId="9" fillId="9" borderId="2" applyAlignment="1" pivotButton="0" quotePrefix="0" xfId="0">
      <alignment horizontal="center" vertical="bottom" wrapText="1"/>
    </xf>
    <xf numFmtId="0" fontId="9" fillId="10" borderId="2" applyAlignment="1" pivotButton="0" quotePrefix="0" xfId="0">
      <alignment horizontal="center" vertical="bottom" wrapText="1"/>
    </xf>
    <xf numFmtId="0" fontId="9" fillId="2" borderId="2" applyAlignment="1" pivotButton="0" quotePrefix="0" xfId="0">
      <alignment horizontal="center" vertical="bottom" wrapText="1"/>
    </xf>
    <xf numFmtId="0" fontId="10" fillId="2" borderId="3" applyAlignment="1" pivotButton="0" quotePrefix="0" xfId="0">
      <alignment horizontal="center" vertical="center" wrapText="1"/>
    </xf>
    <xf numFmtId="0" fontId="11" fillId="11" borderId="2" applyAlignment="1" pivotButton="0" quotePrefix="0" xfId="0">
      <alignment horizontal="center" vertical="bottom" wrapText="1"/>
    </xf>
    <xf numFmtId="0" fontId="12" fillId="11" borderId="3" applyAlignment="1" pivotButton="0" quotePrefix="0" xfId="0">
      <alignment horizontal="center" vertical="center" wrapText="1"/>
    </xf>
    <xf numFmtId="0" fontId="13" fillId="12" borderId="2" applyAlignment="1" pivotButton="0" quotePrefix="0" xfId="0">
      <alignment horizontal="general" vertical="center"/>
    </xf>
    <xf numFmtId="0" fontId="6" fillId="0" borderId="1" applyAlignment="1" pivotButton="0" quotePrefix="0" xfId="0">
      <alignment horizontal="center" vertical="top" wrapText="1"/>
    </xf>
    <xf numFmtId="164" fontId="6" fillId="13" borderId="1" applyAlignment="1" pivotButton="0" quotePrefix="0" xfId="0">
      <alignment horizontal="right" vertical="top"/>
    </xf>
    <xf numFmtId="164" fontId="6" fillId="14" borderId="1" applyAlignment="1" pivotButton="0" quotePrefix="0" xfId="0">
      <alignment horizontal="right" vertical="top"/>
    </xf>
    <xf numFmtId="164" fontId="6" fillId="15" borderId="1" applyAlignment="1" pivotButton="0" quotePrefix="0" xfId="0">
      <alignment horizontal="right" vertical="top"/>
    </xf>
    <xf numFmtId="164" fontId="6" fillId="16" borderId="1" applyAlignment="1" pivotButton="0" quotePrefix="0" xfId="0">
      <alignment horizontal="right" vertical="top"/>
    </xf>
    <xf numFmtId="164" fontId="6" fillId="17" borderId="1" applyAlignment="1" pivotButton="0" quotePrefix="0" xfId="0">
      <alignment horizontal="right" vertical="top"/>
    </xf>
    <xf numFmtId="164" fontId="6" fillId="18" borderId="1" applyAlignment="1" pivotButton="0" quotePrefix="0" xfId="0">
      <alignment horizontal="right" vertical="top"/>
    </xf>
    <xf numFmtId="164" fontId="14" fillId="19" borderId="4" applyAlignment="1" pivotButton="0" quotePrefix="0" xfId="0">
      <alignment horizontal="right" vertical="top"/>
    </xf>
    <xf numFmtId="165" fontId="15" fillId="0" borderId="3" applyAlignment="1" pivotButton="0" quotePrefix="0" xfId="0">
      <alignment horizontal="right" vertical="center" wrapText="1"/>
    </xf>
    <xf numFmtId="0" fontId="12" fillId="0" borderId="3" applyAlignment="1" pivotButton="0" quotePrefix="0" xfId="0">
      <alignment horizontal="center" vertical="center" wrapText="1"/>
    </xf>
    <xf numFmtId="0" fontId="16" fillId="0" borderId="3" applyAlignment="1" pivotButton="0" quotePrefix="0" xfId="0">
      <alignment horizontal="left" vertical="center" wrapText="1"/>
    </xf>
    <xf numFmtId="0" fontId="9" fillId="2" borderId="2" applyAlignment="1" pivotButton="0" quotePrefix="0" xfId="0">
      <alignment horizontal="left" vertical="bottom"/>
    </xf>
    <xf numFmtId="2" fontId="17" fillId="0" borderId="2" applyAlignment="1" pivotButton="0" quotePrefix="0" xfId="0">
      <alignment horizontal="right" vertical="bottom"/>
    </xf>
    <xf numFmtId="0" fontId="18" fillId="2" borderId="2" applyAlignment="1" pivotButton="0" quotePrefix="0" xfId="0">
      <alignment horizontal="left" vertical="bottom"/>
    </xf>
    <xf numFmtId="0" fontId="19" fillId="0" borderId="3" applyAlignment="1" pivotButton="0" quotePrefix="0" xfId="0">
      <alignment horizontal="center" vertical="center" wrapText="1"/>
    </xf>
    <xf numFmtId="0" fontId="15" fillId="0" borderId="3" applyAlignment="1" pivotButton="0" quotePrefix="0" xfId="0">
      <alignment horizontal="center" vertical="center" wrapText="1"/>
    </xf>
    <xf numFmtId="0" fontId="15" fillId="0" borderId="3" applyAlignment="1" pivotButton="0" quotePrefix="0" xfId="0">
      <alignment horizontal="left" vertical="top" wrapText="1"/>
    </xf>
    <xf numFmtId="0" fontId="20" fillId="2" borderId="0" applyAlignment="1" pivotButton="0" quotePrefix="0" xfId="0">
      <alignment horizontal="center" vertical="center" wrapText="1"/>
    </xf>
    <xf numFmtId="0" fontId="21" fillId="17" borderId="0" applyAlignment="1" pivotButton="0" quotePrefix="0" xfId="0">
      <alignment horizontal="left" vertical="top" wrapText="1"/>
    </xf>
    <xf numFmtId="0" fontId="19" fillId="0" borderId="0" applyAlignment="1" pivotButton="0" quotePrefix="0" xfId="0">
      <alignment horizontal="general" vertical="bottom"/>
    </xf>
    <xf numFmtId="0" fontId="21" fillId="20" borderId="0" applyAlignment="1" pivotButton="0" quotePrefix="0" xfId="0">
      <alignment horizontal="general" vertical="bottom"/>
    </xf>
    <xf numFmtId="0" fontId="15" fillId="0" borderId="0" applyAlignment="1" pivotButton="0" quotePrefix="0" xfId="0">
      <alignment horizontal="general" vertical="bottom"/>
    </xf>
    <xf numFmtId="0" fontId="10" fillId="21" borderId="0" applyAlignment="1" pivotButton="0" quotePrefix="0" xfId="0">
      <alignment horizontal="left" vertical="center" wrapText="1"/>
    </xf>
    <xf numFmtId="0" fontId="15" fillId="0" borderId="3" applyAlignment="1" pivotButton="0" quotePrefix="0" xfId="0">
      <alignment horizontal="left" vertical="center" wrapText="1"/>
    </xf>
    <xf numFmtId="0" fontId="22" fillId="20" borderId="3" applyAlignment="1" pivotButton="0" quotePrefix="0" xfId="0">
      <alignment horizontal="center" vertical="center" wrapText="1"/>
    </xf>
    <xf numFmtId="164" fontId="15" fillId="19" borderId="3" applyAlignment="1" pivotButton="0" quotePrefix="0" xfId="0">
      <alignment horizontal="right" vertical="center" wrapText="1"/>
    </xf>
    <xf numFmtId="166" fontId="23" fillId="22" borderId="3" applyAlignment="1" pivotButton="0" quotePrefix="0" xfId="0">
      <alignment horizontal="right" vertical="center" wrapText="1"/>
    </xf>
    <xf numFmtId="164" fontId="22" fillId="20" borderId="3" applyAlignment="1" pivotButton="0" quotePrefix="0" xfId="0">
      <alignment horizontal="right" vertical="center" wrapText="1"/>
    </xf>
    <xf numFmtId="165" fontId="23" fillId="22" borderId="3" applyAlignment="1" pivotButton="0" quotePrefix="0" xfId="0">
      <alignment horizontal="right" vertical="center" wrapText="1"/>
    </xf>
    <xf numFmtId="0" fontId="0" fillId="2" borderId="3" applyAlignment="1" pivotButton="0" quotePrefix="0" xfId="0">
      <alignment horizontal="general" vertical="bottom"/>
    </xf>
    <xf numFmtId="166" fontId="10" fillId="2" borderId="3" applyAlignment="1" pivotButton="0" quotePrefix="0" xfId="0">
      <alignment horizontal="right" vertical="center" wrapText="1"/>
    </xf>
    <xf numFmtId="167" fontId="10" fillId="2" borderId="3" applyAlignment="1" pivotButton="0" quotePrefix="0" xfId="0">
      <alignment horizontal="right" vertical="center" wrapText="1"/>
    </xf>
    <xf numFmtId="0" fontId="16" fillId="23" borderId="0" applyAlignment="1" pivotButton="0" quotePrefix="0" xfId="0">
      <alignment horizontal="left" vertical="top" wrapText="1"/>
    </xf>
    <xf numFmtId="0" fontId="20" fillId="24" borderId="0" applyAlignment="1" pivotButton="0" quotePrefix="0" xfId="0">
      <alignment horizontal="center" vertical="center" wrapText="1"/>
    </xf>
    <xf numFmtId="168" fontId="24" fillId="24" borderId="3" applyAlignment="1" pivotButton="0" quotePrefix="0" xfId="0">
      <alignment horizontal="right" vertical="center" wrapText="1"/>
    </xf>
    <xf numFmtId="168" fontId="25" fillId="0" borderId="3" applyAlignment="1" pivotButton="0" quotePrefix="0" xfId="0">
      <alignment horizontal="right" vertical="center" wrapText="1"/>
    </xf>
    <xf numFmtId="0" fontId="0" fillId="0" borderId="3"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general" vertical="center"/>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4" borderId="2" applyAlignment="1" pivotButton="0" quotePrefix="0" xfId="0">
      <alignment horizontal="center" vertical="bottom" wrapText="1"/>
    </xf>
    <xf numFmtId="0" fontId="0" fillId="0" borderId="7" pivotButton="0" quotePrefix="0" xfId="0"/>
    <xf numFmtId="0" fontId="0" fillId="0" borderId="8" pivotButton="0" quotePrefix="0" xfId="0"/>
    <xf numFmtId="0" fontId="9" fillId="5" borderId="2" applyAlignment="1" pivotButton="0" quotePrefix="0" xfId="0">
      <alignment horizontal="center" vertical="bottom" wrapText="1"/>
    </xf>
    <xf numFmtId="0" fontId="9" fillId="6" borderId="2" applyAlignment="1" pivotButton="0" quotePrefix="0" xfId="0">
      <alignment horizontal="center" vertical="bottom" wrapText="1"/>
    </xf>
    <xf numFmtId="0" fontId="9" fillId="7" borderId="2" applyAlignment="1" pivotButton="0" quotePrefix="0" xfId="0">
      <alignment horizontal="center" vertical="bottom" wrapText="1"/>
    </xf>
    <xf numFmtId="0" fontId="9" fillId="8" borderId="2" applyAlignment="1" pivotButton="0" quotePrefix="0" xfId="0">
      <alignment horizontal="center" vertical="bottom" wrapText="1"/>
    </xf>
    <xf numFmtId="0" fontId="9" fillId="9" borderId="2" applyAlignment="1" pivotButton="0" quotePrefix="0" xfId="0">
      <alignment horizontal="center" vertical="bottom" wrapText="1"/>
    </xf>
    <xf numFmtId="0" fontId="9" fillId="10" borderId="2" applyAlignment="1" pivotButton="0" quotePrefix="0" xfId="0">
      <alignment horizontal="center" vertical="bottom" wrapText="1"/>
    </xf>
    <xf numFmtId="0" fontId="9" fillId="2" borderId="2" applyAlignment="1" pivotButton="0" quotePrefix="0" xfId="0">
      <alignment horizontal="center" vertical="bottom" wrapText="1"/>
    </xf>
    <xf numFmtId="0" fontId="10" fillId="2" borderId="3" applyAlignment="1" pivotButton="0" quotePrefix="0" xfId="0">
      <alignment horizontal="center" vertical="center" wrapText="1"/>
    </xf>
    <xf numFmtId="0" fontId="0" fillId="0" borderId="11" pivotButton="0" quotePrefix="0" xfId="0"/>
    <xf numFmtId="0" fontId="0" fillId="0" borderId="12" pivotButton="0" quotePrefix="0" xfId="0"/>
    <xf numFmtId="0" fontId="11" fillId="11" borderId="2" applyAlignment="1" pivotButton="0" quotePrefix="0" xfId="0">
      <alignment horizontal="center" vertical="bottom" wrapText="1"/>
    </xf>
    <xf numFmtId="0" fontId="12" fillId="11" borderId="3" applyAlignment="1" pivotButton="0" quotePrefix="0" xfId="0">
      <alignment horizontal="center" vertical="center" wrapText="1"/>
    </xf>
    <xf numFmtId="0" fontId="13" fillId="12" borderId="2" applyAlignment="1" pivotButton="0" quotePrefix="0" xfId="0">
      <alignment horizontal="general" vertical="center"/>
    </xf>
    <xf numFmtId="0" fontId="6" fillId="0" borderId="1" applyAlignment="1" pivotButton="0" quotePrefix="0" xfId="0">
      <alignment horizontal="center" vertical="top" wrapText="1"/>
    </xf>
    <xf numFmtId="164" fontId="6" fillId="13" borderId="1" applyAlignment="1" pivotButton="0" quotePrefix="0" xfId="0">
      <alignment horizontal="right" vertical="top"/>
    </xf>
    <xf numFmtId="164" fontId="6" fillId="14" borderId="1" applyAlignment="1" pivotButton="0" quotePrefix="0" xfId="0">
      <alignment horizontal="right" vertical="top"/>
    </xf>
    <xf numFmtId="164" fontId="6" fillId="15" borderId="1" applyAlignment="1" pivotButton="0" quotePrefix="0" xfId="0">
      <alignment horizontal="right" vertical="top"/>
    </xf>
    <xf numFmtId="164" fontId="6" fillId="16" borderId="1" applyAlignment="1" pivotButton="0" quotePrefix="0" xfId="0">
      <alignment horizontal="right" vertical="top"/>
    </xf>
    <xf numFmtId="164" fontId="6" fillId="17" borderId="1" applyAlignment="1" pivotButton="0" quotePrefix="0" xfId="0">
      <alignment horizontal="right" vertical="top"/>
    </xf>
    <xf numFmtId="164" fontId="6" fillId="18" borderId="1" applyAlignment="1" pivotButton="0" quotePrefix="0" xfId="0">
      <alignment horizontal="right" vertical="top"/>
    </xf>
    <xf numFmtId="164" fontId="14" fillId="19" borderId="4" applyAlignment="1" pivotButton="0" quotePrefix="0" xfId="0">
      <alignment horizontal="right" vertical="top"/>
    </xf>
    <xf numFmtId="165" fontId="15" fillId="0" borderId="3" applyAlignment="1" pivotButton="0" quotePrefix="0" xfId="0">
      <alignment horizontal="right" vertical="center" wrapText="1"/>
    </xf>
    <xf numFmtId="0" fontId="12" fillId="0" borderId="3" applyAlignment="1" pivotButton="0" quotePrefix="0" xfId="0">
      <alignment horizontal="center" vertical="center" wrapText="1"/>
    </xf>
    <xf numFmtId="0" fontId="16" fillId="0" borderId="3" applyAlignment="1" pivotButton="0" quotePrefix="0" xfId="0">
      <alignment horizontal="left" vertical="center" wrapText="1"/>
    </xf>
    <xf numFmtId="0" fontId="9" fillId="2" borderId="2" applyAlignment="1" pivotButton="0" quotePrefix="0" xfId="0">
      <alignment horizontal="left" vertical="bottom"/>
    </xf>
    <xf numFmtId="0" fontId="0" fillId="0" borderId="15" pivotButton="0" quotePrefix="0" xfId="0"/>
    <xf numFmtId="0" fontId="0" fillId="0" borderId="16" pivotButton="0" quotePrefix="0" xfId="0"/>
    <xf numFmtId="2" fontId="17" fillId="0" borderId="2" applyAlignment="1" pivotButton="0" quotePrefix="0" xfId="0">
      <alignment horizontal="right" vertical="bottom"/>
    </xf>
    <xf numFmtId="0" fontId="18" fillId="2" borderId="2" applyAlignment="1" pivotButton="0" quotePrefix="0" xfId="0">
      <alignment horizontal="left" vertical="bottom"/>
    </xf>
    <xf numFmtId="0" fontId="19" fillId="0" borderId="3" applyAlignment="1" pivotButton="0" quotePrefix="0" xfId="0">
      <alignment horizontal="center" vertical="center" wrapText="1"/>
    </xf>
    <xf numFmtId="0" fontId="15" fillId="0" borderId="3" applyAlignment="1" pivotButton="0" quotePrefix="0" xfId="0">
      <alignment horizontal="center" vertical="center" wrapText="1"/>
    </xf>
    <xf numFmtId="0" fontId="15" fillId="0" borderId="3" applyAlignment="1" pivotButton="0" quotePrefix="0" xfId="0">
      <alignment horizontal="left" vertical="top" wrapText="1"/>
    </xf>
    <xf numFmtId="0" fontId="20" fillId="2" borderId="0" applyAlignment="1" pivotButton="0" quotePrefix="0" xfId="0">
      <alignment horizontal="center" vertical="center" wrapText="1"/>
    </xf>
    <xf numFmtId="0" fontId="21" fillId="17" borderId="0" applyAlignment="1" pivotButton="0" quotePrefix="0" xfId="0">
      <alignment horizontal="left" vertical="top" wrapText="1"/>
    </xf>
    <xf numFmtId="0" fontId="19" fillId="0" borderId="0" applyAlignment="1" pivotButton="0" quotePrefix="0" xfId="0">
      <alignment horizontal="general" vertical="bottom"/>
    </xf>
    <xf numFmtId="0" fontId="21" fillId="20" borderId="0" applyAlignment="1" pivotButton="0" quotePrefix="0" xfId="0">
      <alignment horizontal="general" vertical="bottom"/>
    </xf>
    <xf numFmtId="0" fontId="15" fillId="0" borderId="0" applyAlignment="1" pivotButton="0" quotePrefix="0" xfId="0">
      <alignment horizontal="general" vertical="bottom"/>
    </xf>
    <xf numFmtId="0" fontId="10" fillId="21" borderId="0" applyAlignment="1" pivotButton="0" quotePrefix="0" xfId="0">
      <alignment horizontal="left" vertical="center" wrapText="1"/>
    </xf>
    <xf numFmtId="0" fontId="15" fillId="0" borderId="3" applyAlignment="1" pivotButton="0" quotePrefix="0" xfId="0">
      <alignment horizontal="left" vertical="center" wrapText="1"/>
    </xf>
    <xf numFmtId="0" fontId="22" fillId="20" borderId="3" applyAlignment="1" pivotButton="0" quotePrefix="0" xfId="0">
      <alignment horizontal="center" vertical="center" wrapText="1"/>
    </xf>
    <xf numFmtId="164" fontId="15" fillId="19" borderId="3" applyAlignment="1" pivotButton="0" quotePrefix="0" xfId="0">
      <alignment horizontal="right" vertical="center" wrapText="1"/>
    </xf>
    <xf numFmtId="166" fontId="23" fillId="22" borderId="3" applyAlignment="1" pivotButton="0" quotePrefix="0" xfId="0">
      <alignment horizontal="right" vertical="center" wrapText="1"/>
    </xf>
    <xf numFmtId="164" fontId="22" fillId="20" borderId="3" applyAlignment="1" pivotButton="0" quotePrefix="0" xfId="0">
      <alignment horizontal="right" vertical="center" wrapText="1"/>
    </xf>
    <xf numFmtId="165" fontId="23" fillId="22" borderId="3" applyAlignment="1" pivotButton="0" quotePrefix="0" xfId="0">
      <alignment horizontal="right" vertical="center" wrapText="1"/>
    </xf>
    <xf numFmtId="0" fontId="0" fillId="2" borderId="3" applyAlignment="1" pivotButton="0" quotePrefix="0" xfId="0">
      <alignment horizontal="general" vertical="bottom"/>
    </xf>
    <xf numFmtId="166" fontId="10" fillId="2" borderId="3" applyAlignment="1" pivotButton="0" quotePrefix="0" xfId="0">
      <alignment horizontal="right" vertical="center" wrapText="1"/>
    </xf>
    <xf numFmtId="167" fontId="10" fillId="2" borderId="3" applyAlignment="1" pivotButton="0" quotePrefix="0" xfId="0">
      <alignment horizontal="right" vertical="center" wrapText="1"/>
    </xf>
    <xf numFmtId="0" fontId="16" fillId="23" borderId="0" applyAlignment="1" pivotButton="0" quotePrefix="0" xfId="0">
      <alignment horizontal="left" vertical="top" wrapText="1"/>
    </xf>
    <xf numFmtId="0" fontId="20" fillId="24" borderId="0" applyAlignment="1" pivotButton="0" quotePrefix="0" xfId="0">
      <alignment horizontal="center" vertical="center" wrapText="1"/>
    </xf>
    <xf numFmtId="168" fontId="24" fillId="24" borderId="3" applyAlignment="1" pivotButton="0" quotePrefix="0" xfId="0">
      <alignment horizontal="right" vertical="center" wrapText="1"/>
    </xf>
    <xf numFmtId="168" fontId="25" fillId="0" borderId="3" applyAlignment="1" pivotButton="0" quotePrefix="0" xfId="0">
      <alignment horizontal="right" vertical="center" wrapText="1"/>
    </xf>
    <xf numFmtId="0" fontId="0" fillId="0" borderId="3" applyAlignment="1" pivotButton="0" quotePrefix="0" xfId="0">
      <alignment horizontal="center" vertical="center" wrapText="1"/>
    </xf>
    <xf numFmtId="0" fontId="26" fillId="25" borderId="17" applyAlignment="1" pivotButton="0" quotePrefix="0" xfId="0">
      <alignment horizontal="center" vertical="center" wrapText="1"/>
    </xf>
    <xf numFmtId="0" fontId="26" fillId="26" borderId="17" applyAlignment="1" pivotButton="0" quotePrefix="0" xfId="0">
      <alignment horizontal="center" vertical="center" wrapText="1"/>
    </xf>
    <xf numFmtId="0" fontId="26" fillId="27" borderId="17" applyAlignment="1" pivotButton="0" quotePrefix="0" xfId="0">
      <alignment horizontal="center" vertical="center" wrapText="1"/>
    </xf>
    <xf numFmtId="0" fontId="0" fillId="0" borderId="20" pivotButton="0" quotePrefix="0" xfId="0"/>
    <xf numFmtId="0" fontId="26" fillId="28" borderId="17" applyAlignment="1" pivotButton="0" quotePrefix="0" xfId="0">
      <alignment horizontal="center" vertical="center" wrapText="1"/>
    </xf>
    <xf numFmtId="0" fontId="27" fillId="29" borderId="17" applyAlignment="1" pivotButton="0" quotePrefix="0" xfId="0">
      <alignment horizontal="center" vertical="center" wrapText="1"/>
    </xf>
    <xf numFmtId="169" fontId="28" fillId="30" borderId="21" applyAlignment="1" pivotButton="0" quotePrefix="0" xfId="0">
      <alignment horizontal="right" vertical="top"/>
    </xf>
    <xf numFmtId="169" fontId="29" fillId="31" borderId="21" applyAlignment="1" pivotButton="0" quotePrefix="0" xfId="0">
      <alignment horizontal="right" vertical="top"/>
    </xf>
    <xf numFmtId="169" fontId="29" fillId="32" borderId="21" applyAlignment="1" pivotButton="0" quotePrefix="0" xfId="0">
      <alignment horizontal="right" vertical="top"/>
    </xf>
    <xf numFmtId="169" fontId="29" fillId="30" borderId="21" applyAlignment="1" pivotButton="0" quotePrefix="0" xfId="0">
      <alignment horizontal="right" vertical="top"/>
    </xf>
    <xf numFmtId="167" fontId="30" fillId="0" borderId="21" applyAlignment="1" pivotButton="0" quotePrefix="0" xfId="0">
      <alignment horizontal="right" vertical="top"/>
    </xf>
    <xf numFmtId="169" fontId="29" fillId="33" borderId="21" applyAlignment="1" pivotButton="0" quotePrefix="0" xfId="0">
      <alignment horizontal="right" vertical="top"/>
    </xf>
    <xf numFmtId="0" fontId="28" fillId="0" borderId="21" applyAlignment="1" pivotButton="0" quotePrefix="0" xfId="0">
      <alignment horizontal="left" vertical="top" wrapText="1"/>
    </xf>
    <xf numFmtId="0" fontId="28" fillId="34" borderId="21" applyAlignment="1" pivotButton="0" quotePrefix="0" xfId="0">
      <alignment horizontal="left" vertical="top" wrapText="1"/>
    </xf>
    <xf numFmtId="0" fontId="31" fillId="0" borderId="21" applyAlignment="1" pivotButton="0" quotePrefix="0" xfId="0">
      <alignment horizontal="center" vertical="top"/>
    </xf>
    <xf numFmtId="0" fontId="30" fillId="0" borderId="21" applyAlignment="1" pivotButton="0" quotePrefix="0" xfId="0">
      <alignment horizontal="center" vertical="top"/>
    </xf>
    <xf numFmtId="164" fontId="30" fillId="19" borderId="21" applyAlignment="1" pivotButton="0" quotePrefix="0" xfId="0">
      <alignment horizontal="center" vertical="top"/>
    </xf>
    <xf numFmtId="165" fontId="30" fillId="0" borderId="21" applyAlignment="1" pivotButton="0" quotePrefix="0" xfId="0">
      <alignment horizontal="center" vertical="top"/>
    </xf>
    <xf numFmtId="164" fontId="30" fillId="18" borderId="2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ont>
        <name val="Calibri"/>
        <charset val="1"/>
        <family val="0"/>
        <b val="1"/>
        <color rgb="FF9C0006"/>
        <sz val="10"/>
      </font>
      <fill>
        <patternFill>
          <bgColor rgb="FFFFC7CE"/>
        </patternFill>
      </fill>
    </dxf>
    <dxf>
      <font>
        <name val="Calibri"/>
        <charset val="1"/>
        <family val="0"/>
        <b val="1"/>
        <color rgb="FF9C6500"/>
        <sz val="10"/>
      </font>
      <fill>
        <patternFill>
          <bgColor rgb="FFFFEB9C"/>
        </patternFill>
      </fill>
    </dxf>
    <dxf>
      <font>
        <name val="Calibri"/>
        <charset val="1"/>
        <family val="0"/>
        <b val="1"/>
        <color rgb="FF006100"/>
        <sz val="10"/>
      </font>
      <fill>
        <patternFill>
          <bgColor rgb="FFC6EFCE"/>
        </patternFill>
      </fill>
    </dxf>
    <dxf>
      <font>
        <name val="Calibri"/>
        <charset val="1"/>
        <family val="0"/>
        <b val="1"/>
        <color rgb="FFFFFFFF"/>
        <sz val="10"/>
      </font>
      <fill>
        <patternFill>
          <bgColor rgb="FF8B0000"/>
        </patternFill>
      </fill>
    </dxf>
    <dxf>
      <font>
        <name val="Calibri"/>
        <charset val="1"/>
        <family val="0"/>
        <b val="1"/>
        <color rgb="FF1F3864"/>
        <sz val="10"/>
      </font>
      <fill>
        <patternFill>
          <bgColor rgb="FFB4C7E7"/>
        </patternFill>
      </fill>
    </dxf>
    <dxf>
      <fill>
        <patternFill>
          <bgColor rgb="FFFFC7CE"/>
        </patternFill>
      </fill>
    </dxf>
    <dxf>
      <fill>
        <patternFill>
          <bgColor rgb="FFFFEB9C"/>
        </patternFill>
      </fill>
    </dxf>
    <dxf>
      <fill>
        <patternFill>
          <bgColor rgb="FFB4C7E7"/>
        </patternFill>
      </fill>
    </dxf>
  </dxfs>
  <colors>
    <indexedColors>
      <rgbColor rgb="FF000000"/>
      <rgbColor rgb="FFFFFFFF"/>
      <rgbColor rgb="FFC00000"/>
      <rgbColor rgb="FF00FF00"/>
      <rgbColor rgb="FF0000FF"/>
      <rgbColor rgb="FFFFFF00"/>
      <rgbColor rgb="FFFF00FF"/>
      <rgbColor rgb="FF00FFFF"/>
      <rgbColor rgb="FF8B0000"/>
      <rgbColor rgb="FF006100"/>
      <rgbColor rgb="FF000080"/>
      <rgbColor rgb="FF996600"/>
      <rgbColor rgb="FF800080"/>
      <rgbColor rgb="FF008080"/>
      <rgbColor rgb="FFB4C7E7"/>
      <rgbColor rgb="FF555555"/>
      <rgbColor rgb="FFFFEBEE"/>
      <rgbColor rgb="FF8E44AD"/>
      <rgbColor rgb="FFFFF9C4"/>
      <rgbColor rgb="FFE8F5E9"/>
      <rgbColor rgb="FF660066"/>
      <rgbColor rgb="FFD35400"/>
      <rgbColor rgb="FF0070C0"/>
      <rgbColor rgb="FFD9D9D9"/>
      <rgbColor rgb="FF000080"/>
      <rgbColor rgb="FFFF00FF"/>
      <rgbColor rgb="FFE2EFDA"/>
      <rgbColor rgb="FF00FFFF"/>
      <rgbColor rgb="FF800080"/>
      <rgbColor rgb="FF9C0006"/>
      <rgbColor rgb="FF008080"/>
      <rgbColor rgb="FF0000FF"/>
      <rgbColor rgb="FF00CCFF"/>
      <rgbColor rgb="FFE8F1FB"/>
      <rgbColor rgb="FFC6EFCE"/>
      <rgbColor rgb="FFFFEB9C"/>
      <rgbColor rgb="FFD9E1F2"/>
      <rgbColor rgb="FFF2E6F7"/>
      <rgbColor rgb="FFEFEBE9"/>
      <rgbColor rgb="FFFFC7CE"/>
      <rgbColor rgb="FF3366FF"/>
      <rgbColor rgb="FF33CCCC"/>
      <rgbColor rgb="FFF4F6F8"/>
      <rgbColor rgb="FFFFD54F"/>
      <rgbColor rgb="FFC9A227"/>
      <rgbColor rgb="FFE8520A"/>
      <rgbColor rgb="FF666666"/>
      <rgbColor rgb="FFFEF0E1"/>
      <rgbColor rgb="FF0F2F4D"/>
      <rgbColor rgb="FF2E8B57"/>
      <rgbColor rgb="FF003300"/>
      <rgbColor rgb="FF5D4037"/>
      <rgbColor rgb="FFA63232"/>
      <rgbColor rgb="FF9C6500"/>
      <rgbColor rgb="FF1F4E79"/>
      <rgbColor rgb="FF1F386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hyperlink" Target="https://www150.statcan.gc.ca/n1/daily-quotidien/260428/dq260428b-eng.htm" TargetMode="External" Id="rId1"/><Relationship Type="http://schemas.openxmlformats.org/officeDocument/2006/relationships/hyperlink" Target="https://www150.statcan.gc.ca/t1/tbl1/en/tv.action?pid=1810028901" TargetMode="External" Id="rId2"/><Relationship Type="http://schemas.openxmlformats.org/officeDocument/2006/relationships/hyperlink" Target="https://www.alberta.ca/system/files/custom_downloaded_images/trans-unit-price-averages.xlsx" TargetMode="External" Id="rId3"/><Relationship Type="http://schemas.openxmlformats.org/officeDocument/2006/relationships/hyperlink" Target="https://www.alberta.ca/unit-prices-and-cost-adjustments" TargetMode="External" Id="rId4"/><Relationship Type="http://schemas.openxmlformats.org/officeDocument/2006/relationships/hyperlink" Target="https://www.roadbuilders.bc.ca/tender-report/" TargetMode="External" Id="rId5"/><Relationship Type="http://schemas.openxmlformats.org/officeDocument/2006/relationships/hyperlink" Target="https://natural-resources.canada.ca/domestic-international-markets/diesel-prices" TargetMode="External" Id="rId6"/><Relationship Type="http://schemas.openxmlformats.org/officeDocument/2006/relationships/hyperlink" Target="https://www.bankofcanada.ca/rates/exchange/" TargetMode="External" Id="rId7"/><Relationship Type="http://schemas.openxmlformats.org/officeDocument/2006/relationships/hyperlink" Target="https://www.cbsa-asfc.gc.ca/" TargetMode="External" Id="rId8"/><Relationship Type="http://schemas.openxmlformats.org/officeDocument/2006/relationships/hyperlink" Target="https://www.worksafebc.com/%20/%20https://www.wcb.ab.ca/%20/%20https://www.wsib.ca/%20etc." TargetMode="External" Id="rId9"/><Relationship Type="http://schemas.openxmlformats.org/officeDocument/2006/relationships/hyperlink" Target="https://canadabuys.canada.ca/%20&#8226;%20https://www.merx.com/%20&#8226;%20https://sasktenders.ca/%20&#8226;%20https://www.gov.mb.ca/mti/contracts/bidresults.html" TargetMode="External" Id="rId10"/><Relationship Type="http://schemas.openxmlformats.org/officeDocument/2006/relationships/hyperlink" Target="https://natural-resources.canada.ca/minerals-mining/mining-data-statistics-analysis/minerals-mining-publications/capital-expenditures" TargetMode="External" Id="rId11"/><Relationship Type="http://schemas.openxmlformats.org/officeDocument/2006/relationships/hyperlink" Target="https://www.sedarplus.ca/" TargetMode="External" Id="rId12"/></Relationships>
</file>

<file path=xl/worksheets/sheet1.xml><?xml version="1.0" encoding="utf-8"?>
<worksheet xmlns="http://schemas.openxmlformats.org/spreadsheetml/2006/main">
  <sheetPr filterMode="0">
    <outlinePr summaryBelow="1" summaryRight="1"/>
    <pageSetUpPr fitToPage="0"/>
  </sheetPr>
  <dimension ref="A1:B1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71" customWidth="1" style="55" min="1" max="1"/>
    <col width="100.71" customWidth="1" style="55" min="2" max="2"/>
  </cols>
  <sheetData>
    <row r="1" ht="27.75" customHeight="1" s="56">
      <c r="A1" s="57" t="inlineStr">
        <is>
          <t>RMM 2026 HEAVY CIVIL BENCHMARK MASTER - Canada-Wide Unit Rates with Multi-Source Comparison</t>
        </is>
      </c>
    </row>
    <row r="2" ht="18" customHeight="1" s="56">
      <c r="A2" s="58" t="inlineStr">
        <is>
          <t>Prepared for Ausenco / NexGold Goldboro FS 2026 benchmarking and bidder vetting. Single self-contained reference document.</t>
        </is>
      </c>
    </row>
    <row r="4" ht="49.5" customHeight="1" s="56">
      <c r="A4" s="59" t="inlineStr">
        <is>
          <t>AUTHOR</t>
        </is>
      </c>
      <c r="B4" s="59" t="inlineStr">
        <is>
          <t>Rick Miller, Senior Project Director / EPCM</t>
        </is>
      </c>
    </row>
    <row r="5" ht="49.5" customHeight="1" s="56">
      <c r="A5" s="59" t="inlineStr">
        <is>
          <t>DOCUMENT</t>
        </is>
      </c>
      <c r="B5" s="59" t="inlineStr">
        <is>
          <t>RMM-BENCHMARK-CANADA-2026-V3</t>
        </is>
      </c>
    </row>
    <row r="6" ht="49.5" customHeight="1" s="56">
      <c r="A6" s="59" t="inlineStr">
        <is>
          <t>ISSUE DATE</t>
        </is>
      </c>
      <c r="B6" s="59" t="inlineStr">
        <is>
          <t>Q2 2026</t>
        </is>
      </c>
    </row>
    <row r="7" ht="49.5" customHeight="1" s="56">
      <c r="A7" s="59" t="inlineStr">
        <is>
          <t>BASE YEAR / CCY</t>
        </is>
      </c>
      <c r="B7" s="59" t="inlineStr">
        <is>
          <t>Q2 2026 / Canadian Dollars (CAD)</t>
        </is>
      </c>
    </row>
    <row r="8" ht="49.5" customHeight="1" s="56">
      <c r="A8" s="59" t="inlineStr">
        <is>
          <t>PREPARED FOR</t>
        </is>
      </c>
      <c r="B8" s="59" t="inlineStr">
        <is>
          <t>Ausenco Engineering Canada / NexGold Mining Corp. - Goldboro FS 2026 civil benchmark vetting and bidder submission evaluation. Shared internally with Carter's Mechanical Consulting principal as engagement reference.</t>
        </is>
      </c>
    </row>
    <row r="9" ht="49.5" customHeight="1" s="56">
      <c r="A9" s="60" t="inlineStr">
        <is>
          <t>CONFIDENTIALITY</t>
        </is>
      </c>
      <c r="B9" s="61" t="inlineStr">
        <is>
          <t>Internal working document. Confidential and proprietary. Bidder pricing references are subject to the Goldboro C5027 tender confidentiality terms. Not for redistribution outside Ausenco / NexGold / Carter's principal.</t>
        </is>
      </c>
    </row>
    <row r="10" ht="49.5" customHeight="1" s="56">
      <c r="A10" s="59" t="inlineStr">
        <is>
          <t>PURPOSE</t>
        </is>
      </c>
      <c r="B10" s="59" t="inlineStr">
        <is>
          <t>Single self-contained 2026 heavy civil benchmark for: (a) issuing to bidders alongside tender packages as the reference market data; (b) back-pressuring out-of-range bidder submissions ('your culvert rate is 2× the NS market median, please explain'); (c) handing to owner / EPCM (Ausenco, NexGold) as defensible internal estimating standard; (d) cross-calibrating own estimates against multiple real 2026 data points.</t>
        </is>
      </c>
    </row>
    <row r="11" ht="49.5" customHeight="1" s="56">
      <c r="A11" s="59" t="inlineStr">
        <is>
          <t>WHAT MAKES THIS DEFENSIBLE</t>
        </is>
      </c>
      <c r="B11" s="59" t="inlineStr">
        <is>
          <t>Every line item carries up to 6 cross-referenced data points: (1) Author SME range by region (Canada-wide, 7 regions); (2) GHD Goldboro 2026 vendor-quoted real-print pricing (Atlantic NS anchor; from GHD project file Apr 14, 2026); (3) Alberta Transportation 2026 UPA (highway tender baseline, weighted avg of 3 low bids May 2024 – Sep 2025, public data); (4) Rick Miller Q2 2026 operator intel (tandem $150/hr; wiggle wagon $200/hr; crushing 'through the roof'); (5) Goldboro C5027 5-bidder April 2026 submissions (Bird, Dexter, GIP, Greenfields, Nova - real contractor market); (6) Statistics Canada Q1 2026 BCPI (+3.6% YoY non-residential macro context).</t>
        </is>
      </c>
    </row>
    <row r="12" ht="49.5" customHeight="1" s="56">
      <c r="A12" s="59" t="inlineStr">
        <is>
          <t>STRUCTURE</t>
        </is>
      </c>
      <c r="B12" s="59" t="inlineStr">
        <is>
          <t>9 tabs total: 00 Cover - 01 Rate Schedule (unit-rate master with regional ranges, anchors, bidder submissions, operational deltas + flags) - 02 Equipment Rates (hourly equipment by region) - 03 Regional Adjustors - 04 Vetting Workflow - 05 Sources and Methodology - 06 Coverage Summary - 07 Project Pricing (operational rollup) - 08 Data Integrity QC</t>
        </is>
      </c>
    </row>
    <row r="13" ht="49.5" customHeight="1" s="56">
      <c r="A13" s="59" t="inlineStr">
        <is>
          <t>COVERAGE - SCOPE</t>
        </is>
      </c>
      <c r="B13" s="59" t="inlineStr">
        <is>
          <t>180 canonical scope unit rate items across 25 sections (A-Y) covering end-to-end mining heavy civil: earthworks, water mgmt, roads, WRSA/TMF, drainage, concrete, steel, closure, blasting, dewatering, buried services, fencing, signage, rock anchors, culvert structures, crushing, underground civil, tailings dam zoned, heap leach pads, process plant civil, slurry pipelines, mine bridges, power line civil, hydraulic structures.</t>
        </is>
      </c>
    </row>
    <row r="14" ht="49.5" customHeight="1" s="56">
      <c r="A14" s="59" t="inlineStr">
        <is>
          <t>COVERAGE - EQUIPMENT</t>
        </is>
      </c>
      <c r="B14" s="59" t="inlineStr">
        <is>
          <t>Tab '02 Equipment Rates' carries 30 equipment hourly rates (trucks, excavators, dozers, graders, compactors, loaders, drills, cranes, pumps) with the same regional cross-reference + Rick Q2 2026 intel anchors for tandem ($150/hr) and 45T wiggle wagon ($200/hr).</t>
        </is>
      </c>
    </row>
    <row r="15" ht="49.5" customHeight="1" s="56">
      <c r="A15" s="59" t="inlineStr">
        <is>
          <t>COVERAGE - REGIONAL</t>
        </is>
      </c>
      <c r="B15" s="59" t="inlineStr">
        <is>
          <t>7 Canadian regions: NL / NS / ON / MB-SK / AB / BC / YT-NWT. Base SME range adjusted by published regional factor (per Sheet 03).</t>
        </is>
      </c>
    </row>
    <row r="16" ht="49.5" customHeight="1" s="56">
      <c r="A16" s="59" t="inlineStr">
        <is>
          <t>HOW TO USE</t>
        </is>
      </c>
      <c r="B16" s="59" t="inlineStr">
        <is>
          <t>Open Tab 01. Each row = one scope item. Columns grouped by source: regional ranges first (Atlantic / Central / Western / Northern colour bands), then anchors (GHD Goldboro + AB UPA + Rick intel in gold), then bidder submissions (red), then RECOMMENDED 2026 rate (yellow). For equipment hourly rates use Tab 02. To benchmark a bidder quote: find item, read your regional column, compare to bidder column, check vs anchors. Use Tab 04 Vetting Workflow for the 8-step push-back process.</t>
        </is>
      </c>
    </row>
    <row r="17" ht="49.5" customHeight="1" s="56">
      <c r="A17" s="59" t="inlineStr">
        <is>
          <t>VETTING DECISION RULE</t>
        </is>
      </c>
      <c r="B17" s="59" t="inlineStr">
        <is>
          <t>If bidder rate is WITHIN your regional Low-High range → accept (within market). If OUTSIDE the range, check the 3 anchor columns (GHD Goldboro / AB UPA / Rick intel) and the bidder spread. If bidder is OUTSIDE all anchors and &gt;2× regional ceiling or &lt;0.5× regional floor → clarification letter to bidder citing the deltas.</t>
        </is>
      </c>
    </row>
    <row r="18" ht="49.5" customHeight="1" s="56">
      <c r="A18" s="59" t="inlineStr">
        <is>
          <t>WHAT'S NOT IN THIS FILE</t>
        </is>
      </c>
      <c r="B18" s="59" t="inlineStr">
        <is>
          <t>Methodology detail (burden composite, escalation lanes, productivity factor library, etc.) lives in the parent RMM-CIVIL-CANADA-2026-MANUAL-REV5.xlsx (28-tab full estimating standard, ~120 KB) - cited in Sheet 05 Sources. This file is the OPERATIONAL distillation of that manual for bid review and benchmark use.</t>
        </is>
      </c>
    </row>
    <row r="19" ht="49.5" customHeight="1" s="56">
      <c r="A19" s="59" t="inlineStr">
        <is>
          <t>LIMITATIONS</t>
        </is>
      </c>
      <c r="B19" s="59" t="inlineStr">
        <is>
          <t>Specialty mining sections (Underground / Bridges / Power Line / Hydraulic - sections R, W, X, Y) carry SME-only ranges because public market benchmark data does not exist for these scopes in Canada. Flagged as LOW confidence on Sheet 06. Validate against project-specific RFQ for Class 2/1 estimates.</t>
        </is>
      </c>
    </row>
  </sheetData>
  <mergeCells count="2">
    <mergeCell ref="A2:B2"/>
    <mergeCell ref="A1:B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M209"/>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7.71" customWidth="1" style="55" min="1" max="1"/>
    <col width="11.71" customWidth="1" style="55" min="2" max="2"/>
    <col width="50.71" customWidth="1" style="55" min="3" max="3"/>
    <col width="7.71" customWidth="1" style="55" min="4" max="4"/>
    <col width="9.710000000000001" customWidth="1" style="55" min="5" max="16"/>
    <col width="10.71" customWidth="1" style="55" min="17" max="18"/>
    <col width="11.71" customWidth="1" style="55" min="19" max="19"/>
    <col width="9.710000000000001" customWidth="1" style="55" min="20" max="20"/>
    <col width="10.71" customWidth="1" style="55" min="21" max="21"/>
    <col width="9" customWidth="1" style="55" min="22" max="24"/>
    <col width="9" customWidth="1" style="56" min="23" max="23"/>
    <col width="9" customWidth="1" style="56" min="24" max="24"/>
    <col width="11" customWidth="1" style="55" min="25" max="25"/>
    <col width="9" customWidth="1" style="55" min="26" max="26"/>
    <col width="10" customWidth="1" style="55" min="27" max="27"/>
    <col width="10" customWidth="1" style="55" min="28" max="28"/>
    <col width="10" customWidth="1" style="55" min="29" max="29"/>
    <col width="9" customWidth="1" style="55" min="30" max="30"/>
    <col width="11" customWidth="1" style="56" min="31" max="31"/>
    <col width="28" customWidth="1" style="56" min="32" max="32"/>
    <col width="18" customWidth="1" style="56" min="33" max="33"/>
    <col width="11" customWidth="1" style="56" min="34" max="34"/>
    <col width="11" customWidth="1" style="56" min="35" max="35"/>
    <col width="9" customWidth="1" style="56" min="36" max="36"/>
  </cols>
  <sheetData>
    <row r="1" ht="25.5" customHeight="1" s="56">
      <c r="A1" s="57" t="inlineStr">
        <is>
          <t>RMM 2026 HEAVY CIVIL BENCHMARK MASTER - Rate Schedule (Canada-wide, GHD-style layout)</t>
        </is>
      </c>
    </row>
    <row r="2" ht="18" customHeight="1" s="56">
      <c r="A2" s="58" t="inlineStr">
        <is>
          <t>Atlantic GREEN / Central PURPLE / Western ORANGE / Northern BROWN. Anchors GOLD. Bidder submissions RED. RECOMMENDED YELLOW.</t>
        </is>
      </c>
    </row>
    <row r="3" ht="27.75" customHeight="1" s="56">
      <c r="A3" s="62" t="inlineStr">
        <is>
          <t>IDENTIFICATION</t>
        </is>
      </c>
      <c r="B3" s="63" t="n"/>
      <c r="C3" s="63" t="n"/>
      <c r="D3" s="64" t="n"/>
      <c r="E3" s="65" t="inlineStr">
        <is>
          <t>ATLANTIC (NL / NS)</t>
        </is>
      </c>
      <c r="F3" s="63" t="n"/>
      <c r="G3" s="63" t="n"/>
      <c r="H3" s="64" t="n"/>
      <c r="I3" s="66" t="inlineStr">
        <is>
          <t>CENTRAL (ON / MB-SK)</t>
        </is>
      </c>
      <c r="J3" s="63" t="n"/>
      <c r="K3" s="63" t="n"/>
      <c r="L3" s="64" t="n"/>
      <c r="M3" s="67" t="inlineStr">
        <is>
          <t>WESTERN (AB / BC)</t>
        </is>
      </c>
      <c r="N3" s="63" t="n"/>
      <c r="O3" s="63" t="n"/>
      <c r="P3" s="64" t="n"/>
      <c r="Q3" s="68" t="inlineStr">
        <is>
          <t>NORTHERN (YT/NWT/NU)</t>
        </is>
      </c>
      <c r="R3" s="64" t="n"/>
      <c r="S3" s="69" t="inlineStr">
        <is>
          <t>REFERENCE ANCHORS (Real 2026)</t>
        </is>
      </c>
      <c r="T3" s="63" t="n"/>
      <c r="U3" s="64" t="n"/>
      <c r="V3" s="117" t="inlineStr">
        <is>
          <t>C5027 BIDDER SUBMISSIONS — Individual Rates (Apr 2026)</t>
        </is>
      </c>
      <c r="W3" s="63" t="n"/>
      <c r="X3" s="63" t="n"/>
      <c r="Y3" s="63" t="n"/>
      <c r="Z3" s="64" t="n"/>
      <c r="AA3" s="117" t="inlineStr">
        <is>
          <t>BIDDER STATS (per-rate)</t>
        </is>
      </c>
      <c r="AB3" s="73" t="n"/>
      <c r="AC3" s="73" t="n"/>
      <c r="AD3" s="74" t="n"/>
      <c r="AE3" s="118" t="inlineStr">
        <is>
          <t>RMM RECOMMENDED 2026</t>
        </is>
      </c>
      <c r="AF3" s="119" t="inlineStr">
        <is>
          <t>VETTING / MATCH BASIS</t>
        </is>
      </c>
      <c r="AG3" s="120" t="n"/>
      <c r="AH3" s="121" t="inlineStr">
        <is>
          <t>BIDDER MED Δ%</t>
        </is>
      </c>
      <c r="AI3" s="121" t="inlineStr">
        <is>
          <t>GHD Δ%</t>
        </is>
      </c>
      <c r="AJ3" s="119" t="inlineStr">
        <is>
          <t>FLAG</t>
        </is>
      </c>
    </row>
    <row r="4" ht="31.5" customHeight="1" s="56">
      <c r="A4" s="75" t="inlineStr">
        <is>
          <t>WBS L4</t>
        </is>
      </c>
      <c r="B4" s="75" t="inlineStr">
        <is>
          <t>Code</t>
        </is>
      </c>
      <c r="C4" s="75" t="inlineStr">
        <is>
          <t>Description / Scope</t>
        </is>
      </c>
      <c r="D4" s="75" t="inlineStr">
        <is>
          <t>UOM</t>
        </is>
      </c>
      <c r="E4" s="75" t="inlineStr">
        <is>
          <t>NL Low</t>
        </is>
      </c>
      <c r="F4" s="75" t="inlineStr">
        <is>
          <t>NL High</t>
        </is>
      </c>
      <c r="G4" s="75" t="inlineStr">
        <is>
          <t>NS Low</t>
        </is>
      </c>
      <c r="H4" s="75" t="inlineStr">
        <is>
          <t>NS High</t>
        </is>
      </c>
      <c r="I4" s="75" t="inlineStr">
        <is>
          <t>ON Low</t>
        </is>
      </c>
      <c r="J4" s="75" t="inlineStr">
        <is>
          <t>ON High</t>
        </is>
      </c>
      <c r="K4" s="75" t="inlineStr">
        <is>
          <t>MB/SK Low</t>
        </is>
      </c>
      <c r="L4" s="75" t="inlineStr">
        <is>
          <t>MB/SK High</t>
        </is>
      </c>
      <c r="M4" s="75" t="inlineStr">
        <is>
          <t>AB Low</t>
        </is>
      </c>
      <c r="N4" s="75" t="inlineStr">
        <is>
          <t>AB High</t>
        </is>
      </c>
      <c r="O4" s="75" t="inlineStr">
        <is>
          <t>BC Low</t>
        </is>
      </c>
      <c r="P4" s="75" t="inlineStr">
        <is>
          <t>BC High</t>
        </is>
      </c>
      <c r="Q4" s="75" t="inlineStr">
        <is>
          <t>YT/NWT Low</t>
        </is>
      </c>
      <c r="R4" s="75" t="inlineStr">
        <is>
          <t>YT/NWT High</t>
        </is>
      </c>
      <c r="S4" s="75" t="inlineStr">
        <is>
          <t>GHD Goldboro 2026</t>
        </is>
      </c>
      <c r="T4" s="75" t="inlineStr">
        <is>
          <t>AB UPA 2026</t>
        </is>
      </c>
      <c r="U4" s="75" t="inlineStr">
        <is>
          <t>Rick Anchor</t>
        </is>
      </c>
      <c r="V4" s="122" t="inlineStr">
        <is>
          <t>Bird</t>
        </is>
      </c>
      <c r="W4" s="122" t="inlineStr">
        <is>
          <t>Dexter</t>
        </is>
      </c>
      <c r="X4" s="122" t="inlineStr">
        <is>
          <t>GIP</t>
        </is>
      </c>
      <c r="Y4" s="122" t="inlineStr">
        <is>
          <t>Greenfields</t>
        </is>
      </c>
      <c r="Z4" s="122" t="inlineStr">
        <is>
          <t>Nova</t>
        </is>
      </c>
      <c r="AA4" s="122" t="inlineStr">
        <is>
          <t>Bidder Min</t>
        </is>
      </c>
      <c r="AB4" s="122" t="inlineStr">
        <is>
          <t>Bidder Med</t>
        </is>
      </c>
      <c r="AC4" s="122" t="inlineStr">
        <is>
          <t>Bidder Max</t>
        </is>
      </c>
      <c r="AD4" s="122" t="inlineStr">
        <is>
          <t>Spread %</t>
        </is>
      </c>
      <c r="AE4" s="122" t="inlineStr">
        <is>
          <t>2026 $ / UOM</t>
        </is>
      </c>
      <c r="AF4" s="122" t="inlineStr">
        <is>
          <t>Vetting Note</t>
        </is>
      </c>
      <c r="AG4" s="122" t="inlineStr">
        <is>
          <t>Match Basis</t>
        </is>
      </c>
      <c r="AH4" s="122" t="inlineStr">
        <is>
          <t>Bidder Med vs REC</t>
        </is>
      </c>
      <c r="AI4" s="122" t="inlineStr">
        <is>
          <t>GHD vs REC</t>
        </is>
      </c>
      <c r="AJ4" s="122" t="inlineStr">
        <is>
          <t>FLAG</t>
        </is>
      </c>
    </row>
    <row r="5" ht="19.5" customHeight="1" s="56">
      <c r="A5" s="77" t="inlineStr">
        <is>
          <t>A. Earthworks</t>
        </is>
      </c>
    </row>
    <row r="6" ht="27.75" customHeight="1" s="56">
      <c r="A6" s="78" t="n"/>
      <c r="B6" s="78" t="inlineStr">
        <is>
          <t>C-10-004</t>
        </is>
      </c>
      <c r="C6" s="59" t="inlineStr">
        <is>
          <t>Backfill Type 1 (&lt;250mm) - spread and compact</t>
        </is>
      </c>
      <c r="D6" s="78" t="inlineStr">
        <is>
          <t>m3</t>
        </is>
      </c>
      <c r="E6" s="79" t="n">
        <v>37</v>
      </c>
      <c r="F6" s="79" t="n">
        <v>55</v>
      </c>
      <c r="G6" s="79" t="n">
        <v>35</v>
      </c>
      <c r="H6" s="79" t="n">
        <v>53</v>
      </c>
      <c r="I6" s="80" t="n">
        <v>41</v>
      </c>
      <c r="J6" s="80" t="n">
        <v>61</v>
      </c>
      <c r="K6" s="80" t="n">
        <v>40</v>
      </c>
      <c r="L6" s="80" t="n">
        <v>56</v>
      </c>
      <c r="M6" s="81" t="n">
        <v>42</v>
      </c>
      <c r="N6" s="81" t="n">
        <v>70</v>
      </c>
      <c r="O6" s="81" t="n">
        <v>44</v>
      </c>
      <c r="P6" s="81" t="n">
        <v>68</v>
      </c>
      <c r="Q6" s="82" t="n">
        <v>52</v>
      </c>
      <c r="R6" s="82" t="n">
        <v>81</v>
      </c>
      <c r="S6" s="83" t="n">
        <v>85</v>
      </c>
      <c r="T6" s="78" t="inlineStr">
        <is>
          <t>-</t>
        </is>
      </c>
      <c r="U6" s="78" t="inlineStr">
        <is>
          <t>-</t>
        </is>
      </c>
      <c r="V6" s="123" t="n">
        <v>66.45</v>
      </c>
      <c r="W6" s="123" t="n">
        <v>51.94</v>
      </c>
      <c r="X6" s="123" t="n">
        <v>15.54</v>
      </c>
      <c r="Y6" s="123" t="n">
        <v>12.44</v>
      </c>
      <c r="Z6" s="123" t="n">
        <v>40</v>
      </c>
      <c r="AA6" s="124">
        <f>MIN(V6:Z6)</f>
        <v/>
      </c>
      <c r="AB6" s="125">
        <f>MEDIAN(V6:Z6)</f>
        <v/>
      </c>
      <c r="AC6" s="126">
        <f>MAX(V6:Z6)</f>
        <v/>
      </c>
      <c r="AD6" s="127">
        <f>IFERROR((AC6-AA6)/AB6,"—")</f>
        <v/>
      </c>
      <c r="AE6" s="128">
        <f>AVERAGE(G6,H6)</f>
        <v/>
      </c>
      <c r="AF6" s="129" t="inlineStr">
        <is>
          <t>OK — sources align</t>
        </is>
      </c>
      <c r="AG6" s="130" t="inlineStr">
        <is>
          <t>keyword-matched</t>
        </is>
      </c>
      <c r="AH6" s="127">
        <f>IFERROR((AB6-AE6)/AE6,"—")</f>
        <v/>
      </c>
      <c r="AI6" s="127">
        <f>IFERROR((S6-AE6)/AE6,"—")</f>
        <v/>
      </c>
      <c r="AJ6" s="131">
        <f>IF(AD6&gt;1, "⚠ HIGH SPREAD", IF(ABS(AH6)&gt;0.5, "⚠ DELTA", "OK"))</f>
        <v/>
      </c>
    </row>
    <row r="7" ht="27.75" customHeight="1" s="56">
      <c r="A7" s="78" t="n"/>
      <c r="B7" s="78" t="inlineStr">
        <is>
          <t>C-10-005</t>
        </is>
      </c>
      <c r="C7" s="59" t="inlineStr">
        <is>
          <t>Backfill Type 2 (&lt;100mm) - spread and compact</t>
        </is>
      </c>
      <c r="D7" s="78" t="inlineStr">
        <is>
          <t>m3</t>
        </is>
      </c>
      <c r="E7" s="79" t="n">
        <v>51</v>
      </c>
      <c r="F7" s="79" t="n">
        <v>71</v>
      </c>
      <c r="G7" s="79" t="n">
        <v>48</v>
      </c>
      <c r="H7" s="79" t="n">
        <v>69</v>
      </c>
      <c r="I7" s="80" t="n">
        <v>56</v>
      </c>
      <c r="J7" s="80" t="n">
        <v>80</v>
      </c>
      <c r="K7" s="80" t="n">
        <v>55</v>
      </c>
      <c r="L7" s="80" t="n">
        <v>73</v>
      </c>
      <c r="M7" s="81" t="n">
        <v>58</v>
      </c>
      <c r="N7" s="81" t="n">
        <v>92</v>
      </c>
      <c r="O7" s="81" t="n">
        <v>61</v>
      </c>
      <c r="P7" s="81" t="n">
        <v>88</v>
      </c>
      <c r="Q7" s="82" t="n">
        <v>72</v>
      </c>
      <c r="R7" s="82" t="n">
        <v>105</v>
      </c>
      <c r="S7" s="83" t="n">
        <v>85</v>
      </c>
      <c r="T7" s="78" t="inlineStr">
        <is>
          <t>-</t>
        </is>
      </c>
      <c r="U7" s="78" t="inlineStr">
        <is>
          <t>-</t>
        </is>
      </c>
      <c r="V7" s="123" t="n">
        <v>66.45</v>
      </c>
      <c r="W7" s="123" t="n">
        <v>51.94</v>
      </c>
      <c r="X7" s="123" t="n">
        <v>15.54</v>
      </c>
      <c r="Y7" s="123" t="n">
        <v>12.44</v>
      </c>
      <c r="Z7" s="123" t="n">
        <v>40</v>
      </c>
      <c r="AA7" s="124">
        <f>MIN(V7:Z7)</f>
        <v/>
      </c>
      <c r="AB7" s="125">
        <f>MEDIAN(V7:Z7)</f>
        <v/>
      </c>
      <c r="AC7" s="126">
        <f>MAX(V7:Z7)</f>
        <v/>
      </c>
      <c r="AD7" s="127">
        <f>IFERROR((AC7-AA7)/AB7,"—")</f>
        <v/>
      </c>
      <c r="AE7" s="128">
        <f>AVERAGE(G7,H7)</f>
        <v/>
      </c>
      <c r="AF7" s="129" t="inlineStr">
        <is>
          <t>OK — sources align</t>
        </is>
      </c>
      <c r="AG7" s="130" t="inlineStr">
        <is>
          <t>keyword-matched</t>
        </is>
      </c>
      <c r="AH7" s="127">
        <f>IFERROR((AB7-AE7)/AE7,"—")</f>
        <v/>
      </c>
      <c r="AI7" s="127">
        <f>IFERROR((S7-AE7)/AE7,"—")</f>
        <v/>
      </c>
      <c r="AJ7" s="131">
        <f>IF(AD7&gt;1, "⚠ HIGH SPREAD", IF(ABS(AH7)&gt;0.5, "⚠ DELTA", "OK"))</f>
        <v/>
      </c>
    </row>
    <row r="8" ht="27.75" customHeight="1" s="56">
      <c r="A8" s="78" t="n"/>
      <c r="B8" s="78" t="inlineStr">
        <is>
          <t>C-10-006</t>
        </is>
      </c>
      <c r="C8" s="59" t="inlineStr">
        <is>
          <t>Backfill Type 3 engineered - spread and compact</t>
        </is>
      </c>
      <c r="D8" s="78" t="inlineStr">
        <is>
          <t>m3</t>
        </is>
      </c>
      <c r="E8" s="79" t="n">
        <v>66</v>
      </c>
      <c r="F8" s="79" t="n">
        <v>92</v>
      </c>
      <c r="G8" s="79" t="n">
        <v>63</v>
      </c>
      <c r="H8" s="79" t="n">
        <v>90</v>
      </c>
      <c r="I8" s="80" t="n">
        <v>73</v>
      </c>
      <c r="J8" s="80" t="n">
        <v>104</v>
      </c>
      <c r="K8" s="80" t="n">
        <v>72</v>
      </c>
      <c r="L8" s="80" t="n">
        <v>95</v>
      </c>
      <c r="M8" s="81" t="n">
        <v>76</v>
      </c>
      <c r="N8" s="81" t="n">
        <v>119</v>
      </c>
      <c r="O8" s="81" t="n">
        <v>79</v>
      </c>
      <c r="P8" s="81" t="n">
        <v>114</v>
      </c>
      <c r="Q8" s="82" t="n">
        <v>94</v>
      </c>
      <c r="R8" s="82" t="n">
        <v>136</v>
      </c>
      <c r="S8" s="83" t="n">
        <v>85</v>
      </c>
      <c r="T8" s="78" t="inlineStr">
        <is>
          <t>-</t>
        </is>
      </c>
      <c r="U8" s="78" t="inlineStr">
        <is>
          <t>-</t>
        </is>
      </c>
      <c r="V8" s="123" t="n">
        <v>66.45</v>
      </c>
      <c r="W8" s="123" t="n">
        <v>51.94</v>
      </c>
      <c r="X8" s="123" t="n">
        <v>15.54</v>
      </c>
      <c r="Y8" s="123" t="n">
        <v>12.44</v>
      </c>
      <c r="Z8" s="123" t="n">
        <v>40</v>
      </c>
      <c r="AA8" s="124">
        <f>MIN(V8:Z8)</f>
        <v/>
      </c>
      <c r="AB8" s="125">
        <f>MEDIAN(V8:Z8)</f>
        <v/>
      </c>
      <c r="AC8" s="126">
        <f>MAX(V8:Z8)</f>
        <v/>
      </c>
      <c r="AD8" s="127">
        <f>IFERROR((AC8-AA8)/AB8,"—")</f>
        <v/>
      </c>
      <c r="AE8" s="128">
        <f>AVERAGE(G8,H8)</f>
        <v/>
      </c>
      <c r="AF8" s="129" t="inlineStr">
        <is>
          <t>OK — sources align</t>
        </is>
      </c>
      <c r="AG8" s="130" t="inlineStr">
        <is>
          <t>keyword-matched</t>
        </is>
      </c>
      <c r="AH8" s="127">
        <f>IFERROR((AB8-AE8)/AE8,"—")</f>
        <v/>
      </c>
      <c r="AI8" s="127">
        <f>IFERROR((S8-AE8)/AE8,"—")</f>
        <v/>
      </c>
      <c r="AJ8" s="131">
        <f>IF(AD8&gt;1, "⚠ HIGH SPREAD", IF(ABS(AH8)&gt;0.5, "⚠ DELTA", "OK"))</f>
        <v/>
      </c>
    </row>
    <row r="9" ht="27.75" customHeight="1" s="56">
      <c r="A9" s="78" t="n"/>
      <c r="B9" s="78" t="inlineStr">
        <is>
          <t>C-10-003</t>
        </is>
      </c>
      <c r="C9" s="59" t="inlineStr">
        <is>
          <t>Backfill common - spread and compact</t>
        </is>
      </c>
      <c r="D9" s="78" t="inlineStr">
        <is>
          <t>m3</t>
        </is>
      </c>
      <c r="E9" s="79" t="n">
        <v>20</v>
      </c>
      <c r="F9" s="79" t="n">
        <v>29</v>
      </c>
      <c r="G9" s="79" t="n">
        <v>19</v>
      </c>
      <c r="H9" s="79" t="n">
        <v>29</v>
      </c>
      <c r="I9" s="80" t="n">
        <v>22</v>
      </c>
      <c r="J9" s="80" t="n">
        <v>33</v>
      </c>
      <c r="K9" s="80" t="n">
        <v>22</v>
      </c>
      <c r="L9" s="80" t="n">
        <v>30</v>
      </c>
      <c r="M9" s="81" t="n">
        <v>23</v>
      </c>
      <c r="N9" s="81" t="n">
        <v>38</v>
      </c>
      <c r="O9" s="81" t="n">
        <v>24</v>
      </c>
      <c r="P9" s="81" t="n">
        <v>36</v>
      </c>
      <c r="Q9" s="82" t="n">
        <v>29</v>
      </c>
      <c r="R9" s="82" t="n">
        <v>43</v>
      </c>
      <c r="S9" s="83" t="n">
        <v>85</v>
      </c>
      <c r="T9" s="83" t="n">
        <v>15.22</v>
      </c>
      <c r="U9" s="78" t="inlineStr">
        <is>
          <t>-</t>
        </is>
      </c>
      <c r="V9" s="123" t="n">
        <v>66.45</v>
      </c>
      <c r="W9" s="123" t="n">
        <v>51.94</v>
      </c>
      <c r="X9" s="123" t="n">
        <v>15.54</v>
      </c>
      <c r="Y9" s="123" t="n">
        <v>12.44</v>
      </c>
      <c r="Z9" s="123" t="n">
        <v>40</v>
      </c>
      <c r="AA9" s="124">
        <f>MIN(V9:Z9)</f>
        <v/>
      </c>
      <c r="AB9" s="125">
        <f>MEDIAN(V9:Z9)</f>
        <v/>
      </c>
      <c r="AC9" s="126">
        <f>MAX(V9:Z9)</f>
        <v/>
      </c>
      <c r="AD9" s="127">
        <f>IFERROR((AC9-AA9)/AB9,"—")</f>
        <v/>
      </c>
      <c r="AE9" s="128">
        <f>AVERAGE(G9,H9)</f>
        <v/>
      </c>
      <c r="AF9" s="129" t="inlineStr">
        <is>
          <t>OK — sources align</t>
        </is>
      </c>
      <c r="AG9" s="130" t="inlineStr">
        <is>
          <t>keyword-matched</t>
        </is>
      </c>
      <c r="AH9" s="127">
        <f>IFERROR((AB9-AE9)/AE9,"—")</f>
        <v/>
      </c>
      <c r="AI9" s="127">
        <f>IFERROR((S9-AE9)/AE9,"—")</f>
        <v/>
      </c>
      <c r="AJ9" s="131">
        <f>IF(AD9&gt;1, "⚠ HIGH SPREAD", IF(ABS(AH9)&gt;0.5, "⚠ DELTA", "OK"))</f>
        <v/>
      </c>
    </row>
    <row r="10" ht="27.75" customHeight="1" s="56">
      <c r="A10" s="78" t="n"/>
      <c r="B10" s="78" t="inlineStr">
        <is>
          <t>C-10-014</t>
        </is>
      </c>
      <c r="C10" s="59" t="inlineStr">
        <is>
          <t>Cut-fill balanced earthworks - large-scale</t>
        </is>
      </c>
      <c r="D10" s="78" t="inlineStr">
        <is>
          <t>m3</t>
        </is>
      </c>
      <c r="E10" s="79" t="n">
        <v>20</v>
      </c>
      <c r="F10" s="79" t="n">
        <v>32</v>
      </c>
      <c r="G10" s="79" t="n">
        <v>19</v>
      </c>
      <c r="H10" s="79" t="n">
        <v>31</v>
      </c>
      <c r="I10" s="80" t="n">
        <v>22</v>
      </c>
      <c r="J10" s="80" t="n">
        <v>35</v>
      </c>
      <c r="K10" s="80" t="n">
        <v>22</v>
      </c>
      <c r="L10" s="80" t="n">
        <v>32</v>
      </c>
      <c r="M10" s="81" t="n">
        <v>23</v>
      </c>
      <c r="N10" s="81" t="n">
        <v>40</v>
      </c>
      <c r="O10" s="81" t="n">
        <v>24</v>
      </c>
      <c r="P10" s="81" t="n">
        <v>39</v>
      </c>
      <c r="Q10" s="82" t="n">
        <v>29</v>
      </c>
      <c r="R10" s="82" t="n">
        <v>46</v>
      </c>
      <c r="S10" s="78" t="inlineStr">
        <is>
          <t>-</t>
        </is>
      </c>
      <c r="T10" s="78" t="inlineStr">
        <is>
          <t>-</t>
        </is>
      </c>
      <c r="U10" s="78" t="inlineStr">
        <is>
          <t>-</t>
        </is>
      </c>
      <c r="V10" s="123" t="n">
        <v>30.15</v>
      </c>
      <c r="W10" s="123" t="n">
        <v>51.94</v>
      </c>
      <c r="X10" s="123" t="n">
        <v>40.39</v>
      </c>
      <c r="Y10" s="123" t="n">
        <v>26.47</v>
      </c>
      <c r="Z10" s="123" t="n">
        <v>25</v>
      </c>
      <c r="AA10" s="124">
        <f>MIN(V10:Z10)</f>
        <v/>
      </c>
      <c r="AB10" s="125">
        <f>MEDIAN(V10:Z10)</f>
        <v/>
      </c>
      <c r="AC10" s="126">
        <f>MAX(V10:Z10)</f>
        <v/>
      </c>
      <c r="AD10" s="127">
        <f>IFERROR((AC10-AA10)/AB10,"—")</f>
        <v/>
      </c>
      <c r="AE10" s="128">
        <f>AVERAGE(G10,H10)</f>
        <v/>
      </c>
      <c r="AF10" s="129" t="inlineStr">
        <is>
          <t>OK — sources align</t>
        </is>
      </c>
      <c r="AG10" s="130" t="inlineStr">
        <is>
          <t>category-fallback</t>
        </is>
      </c>
      <c r="AH10" s="127">
        <f>IFERROR((AB10-AE10)/AE10,"—")</f>
        <v/>
      </c>
      <c r="AI10" s="127">
        <f>IFERROR((S10-AE10)/AE10,"—")</f>
        <v/>
      </c>
      <c r="AJ10" s="131">
        <f>IF(AD10&gt;1, "⚠ HIGH SPREAD", IF(ABS(AH10)&gt;0.5, "⚠ DELTA", "OK"))</f>
        <v/>
      </c>
    </row>
    <row r="11" ht="27.75" customHeight="1" s="56">
      <c r="A11" s="78" t="n"/>
      <c r="B11" s="78" t="inlineStr">
        <is>
          <t>C-10-016</t>
        </is>
      </c>
      <c r="C11" s="59" t="inlineStr">
        <is>
          <t>Drill and blast holes only - excavation separate</t>
        </is>
      </c>
      <c r="D11" s="78" t="inlineStr">
        <is>
          <t>m3</t>
        </is>
      </c>
      <c r="E11" s="79" t="n">
        <v>39</v>
      </c>
      <c r="F11" s="79" t="n">
        <v>68</v>
      </c>
      <c r="G11" s="79" t="n">
        <v>37</v>
      </c>
      <c r="H11" s="79" t="n">
        <v>66</v>
      </c>
      <c r="I11" s="80" t="n">
        <v>43</v>
      </c>
      <c r="J11" s="80" t="n">
        <v>77</v>
      </c>
      <c r="K11" s="80" t="n">
        <v>42</v>
      </c>
      <c r="L11" s="80" t="n">
        <v>70</v>
      </c>
      <c r="M11" s="81" t="n">
        <v>44</v>
      </c>
      <c r="N11" s="81" t="n">
        <v>88</v>
      </c>
      <c r="O11" s="81" t="n">
        <v>46</v>
      </c>
      <c r="P11" s="81" t="n">
        <v>84</v>
      </c>
      <c r="Q11" s="82" t="n">
        <v>55</v>
      </c>
      <c r="R11" s="82" t="n">
        <v>101</v>
      </c>
      <c r="S11" s="83" t="n">
        <v>14800</v>
      </c>
      <c r="T11" s="78" t="inlineStr">
        <is>
          <t>-</t>
        </is>
      </c>
      <c r="U11" s="78" t="inlineStr">
        <is>
          <t>-</t>
        </is>
      </c>
      <c r="V11" s="123" t="n">
        <v>5.7</v>
      </c>
      <c r="W11" s="123" t="n">
        <v>13.98</v>
      </c>
      <c r="X11" s="123" t="n">
        <v>8.92</v>
      </c>
      <c r="Y11" s="123" t="n">
        <v>10.7</v>
      </c>
      <c r="Z11" s="123" t="n">
        <v>27.5</v>
      </c>
      <c r="AA11" s="124">
        <f>MIN(V11:Z11)</f>
        <v/>
      </c>
      <c r="AB11" s="125">
        <f>MEDIAN(V11:Z11)</f>
        <v/>
      </c>
      <c r="AC11" s="126">
        <f>MAX(V11:Z11)</f>
        <v/>
      </c>
      <c r="AD11" s="127">
        <f>IFERROR((AC11-AA11)/AB11,"—")</f>
        <v/>
      </c>
      <c r="AE11" s="128">
        <f>AVERAGE(G11,H11)</f>
        <v/>
      </c>
      <c r="AF11" s="129" t="inlineStr">
        <is>
          <t>OK — sources align</t>
        </is>
      </c>
      <c r="AG11" s="130" t="inlineStr">
        <is>
          <t>category-fallback; keyword-matched</t>
        </is>
      </c>
      <c r="AH11" s="127">
        <f>IFERROR((AB11-AE11)/AE11,"—")</f>
        <v/>
      </c>
      <c r="AI11" s="127">
        <f>IFERROR((S11-AE11)/AE11,"—")</f>
        <v/>
      </c>
      <c r="AJ11" s="131">
        <f>IF(AD11&gt;1, "⚠ HIGH SPREAD", IF(ABS(AH11)&gt;0.5, "⚠ DELTA", "OK"))</f>
        <v/>
      </c>
    </row>
    <row r="12" ht="27.75" customHeight="1" s="56">
      <c r="A12" s="78" t="n"/>
      <c r="B12" s="78" t="inlineStr">
        <is>
          <t>C-10-002</t>
        </is>
      </c>
      <c r="C12" s="59" t="inlineStr">
        <is>
          <t>Excavation common soil - load + haul 1-3 km</t>
        </is>
      </c>
      <c r="D12" s="78" t="inlineStr">
        <is>
          <t>m3</t>
        </is>
      </c>
      <c r="E12" s="79" t="n">
        <v>22</v>
      </c>
      <c r="F12" s="79" t="n">
        <v>34</v>
      </c>
      <c r="G12" s="79" t="n">
        <v>21</v>
      </c>
      <c r="H12" s="79" t="n">
        <v>33</v>
      </c>
      <c r="I12" s="80" t="n">
        <v>24</v>
      </c>
      <c r="J12" s="80" t="n">
        <v>38</v>
      </c>
      <c r="K12" s="80" t="n">
        <v>24</v>
      </c>
      <c r="L12" s="80" t="n">
        <v>35</v>
      </c>
      <c r="M12" s="81" t="n">
        <v>25</v>
      </c>
      <c r="N12" s="81" t="n">
        <v>43</v>
      </c>
      <c r="O12" s="81" t="n">
        <v>26</v>
      </c>
      <c r="P12" s="81" t="n">
        <v>42</v>
      </c>
      <c r="Q12" s="82" t="n">
        <v>31</v>
      </c>
      <c r="R12" s="82" t="n">
        <v>50</v>
      </c>
      <c r="S12" s="83" t="n">
        <v>26</v>
      </c>
      <c r="T12" s="83" t="n">
        <v>8.199999999999999</v>
      </c>
      <c r="U12" s="78" t="inlineStr">
        <is>
          <t>-</t>
        </is>
      </c>
      <c r="V12" s="123" t="n">
        <v>51.65</v>
      </c>
      <c r="W12" s="123" t="n">
        <v>19.12</v>
      </c>
      <c r="X12" s="123" t="n">
        <v>11.42</v>
      </c>
      <c r="Y12" s="123" t="n">
        <v>12.44</v>
      </c>
      <c r="Z12" s="123" t="n">
        <v>70</v>
      </c>
      <c r="AA12" s="124">
        <f>MIN(V12:Z12)</f>
        <v/>
      </c>
      <c r="AB12" s="125">
        <f>MEDIAN(V12:Z12)</f>
        <v/>
      </c>
      <c r="AC12" s="126">
        <f>MAX(V12:Z12)</f>
        <v/>
      </c>
      <c r="AD12" s="127">
        <f>IFERROR((AC12-AA12)/AB12,"—")</f>
        <v/>
      </c>
      <c r="AE12" s="128">
        <f>AVERAGE(G12,H12)</f>
        <v/>
      </c>
      <c r="AF12" s="129" t="inlineStr">
        <is>
          <t>OK — sources align</t>
        </is>
      </c>
      <c r="AG12" s="130" t="inlineStr">
        <is>
          <t>keyword-matched</t>
        </is>
      </c>
      <c r="AH12" s="127">
        <f>IFERROR((AB12-AE12)/AE12,"—")</f>
        <v/>
      </c>
      <c r="AI12" s="127">
        <f>IFERROR((S12-AE12)/AE12,"—")</f>
        <v/>
      </c>
      <c r="AJ12" s="131">
        <f>IF(AD12&gt;1, "⚠ HIGH SPREAD", IF(ABS(AH12)&gt;0.5, "⚠ DELTA", "OK"))</f>
        <v/>
      </c>
    </row>
    <row r="13" ht="27.75" customHeight="1" s="56">
      <c r="A13" s="78" t="n"/>
      <c r="B13" s="78" t="inlineStr">
        <is>
          <t>C-10-009</t>
        </is>
      </c>
      <c r="C13" s="59" t="inlineStr">
        <is>
          <t>Granular A base (&lt;19mm) - supply+place+compact</t>
        </is>
      </c>
      <c r="D13" s="78" t="inlineStr">
        <is>
          <t>m3</t>
        </is>
      </c>
      <c r="E13" s="79" t="n">
        <v>97</v>
      </c>
      <c r="F13" s="79" t="n">
        <v>142</v>
      </c>
      <c r="G13" s="79" t="n">
        <v>92</v>
      </c>
      <c r="H13" s="79" t="n">
        <v>138</v>
      </c>
      <c r="I13" s="80" t="n">
        <v>107</v>
      </c>
      <c r="J13" s="80" t="n">
        <v>159</v>
      </c>
      <c r="K13" s="80" t="n">
        <v>105</v>
      </c>
      <c r="L13" s="80" t="n">
        <v>146</v>
      </c>
      <c r="M13" s="81" t="n">
        <v>110</v>
      </c>
      <c r="N13" s="81" t="n">
        <v>182</v>
      </c>
      <c r="O13" s="81" t="n">
        <v>116</v>
      </c>
      <c r="P13" s="81" t="n">
        <v>176</v>
      </c>
      <c r="Q13" s="82" t="n">
        <v>136</v>
      </c>
      <c r="R13" s="82" t="n">
        <v>209</v>
      </c>
      <c r="S13" s="83" t="n">
        <v>50</v>
      </c>
      <c r="T13" s="83" t="n">
        <v>34.27</v>
      </c>
      <c r="U13" s="78" t="inlineStr">
        <is>
          <t>-</t>
        </is>
      </c>
      <c r="V13" s="123" t="n">
        <v>116</v>
      </c>
      <c r="W13" s="123" t="n">
        <v>51.94</v>
      </c>
      <c r="X13" s="123" t="n">
        <v>36.72</v>
      </c>
      <c r="Y13" s="123" t="n">
        <v>12.44</v>
      </c>
      <c r="Z13" s="123" t="n">
        <v>70</v>
      </c>
      <c r="AA13" s="124">
        <f>MIN(V13:Z13)</f>
        <v/>
      </c>
      <c r="AB13" s="125">
        <f>MEDIAN(V13:Z13)</f>
        <v/>
      </c>
      <c r="AC13" s="126">
        <f>MAX(V13:Z13)</f>
        <v/>
      </c>
      <c r="AD13" s="127">
        <f>IFERROR((AC13-AA13)/AB13,"—")</f>
        <v/>
      </c>
      <c r="AE13" s="128">
        <f>AVERAGE(G13,H13)</f>
        <v/>
      </c>
      <c r="AF13" s="129" t="inlineStr">
        <is>
          <t>OK — sources align</t>
        </is>
      </c>
      <c r="AG13" s="130" t="inlineStr">
        <is>
          <t>keyword-matched</t>
        </is>
      </c>
      <c r="AH13" s="127">
        <f>IFERROR((AB13-AE13)/AE13,"—")</f>
        <v/>
      </c>
      <c r="AI13" s="127">
        <f>IFERROR((S13-AE13)/AE13,"—")</f>
        <v/>
      </c>
      <c r="AJ13" s="131">
        <f>IF(AD13&gt;1, "⚠ HIGH SPREAD", IF(ABS(AH13)&gt;0.5, "⚠ DELTA", "OK"))</f>
        <v/>
      </c>
    </row>
    <row r="14" ht="27.75" customHeight="1" s="56">
      <c r="A14" s="78" t="n"/>
      <c r="B14" s="78" t="inlineStr">
        <is>
          <t>C-10-010</t>
        </is>
      </c>
      <c r="C14" s="59" t="inlineStr">
        <is>
          <t>Granular B sub-base (&lt;75mm) - supply+place+compact</t>
        </is>
      </c>
      <c r="D14" s="78" t="inlineStr">
        <is>
          <t>m3</t>
        </is>
      </c>
      <c r="E14" s="79" t="n">
        <v>81</v>
      </c>
      <c r="F14" s="79" t="n">
        <v>121</v>
      </c>
      <c r="G14" s="79" t="n">
        <v>77</v>
      </c>
      <c r="H14" s="79" t="n">
        <v>117</v>
      </c>
      <c r="I14" s="80" t="n">
        <v>90</v>
      </c>
      <c r="J14" s="80" t="n">
        <v>136</v>
      </c>
      <c r="K14" s="80" t="n">
        <v>88</v>
      </c>
      <c r="L14" s="80" t="n">
        <v>124</v>
      </c>
      <c r="M14" s="81" t="n">
        <v>92</v>
      </c>
      <c r="N14" s="81" t="n">
        <v>155</v>
      </c>
      <c r="O14" s="81" t="n">
        <v>97</v>
      </c>
      <c r="P14" s="81" t="n">
        <v>150</v>
      </c>
      <c r="Q14" s="82" t="n">
        <v>114</v>
      </c>
      <c r="R14" s="82" t="n">
        <v>178</v>
      </c>
      <c r="S14" s="83" t="n">
        <v>50</v>
      </c>
      <c r="T14" s="78" t="inlineStr">
        <is>
          <t>-</t>
        </is>
      </c>
      <c r="U14" s="78" t="inlineStr">
        <is>
          <t>-</t>
        </is>
      </c>
      <c r="V14" s="123" t="n">
        <v>50.85</v>
      </c>
      <c r="W14" s="123" t="n">
        <v>61.02</v>
      </c>
      <c r="X14" s="123" t="n">
        <v>27.51</v>
      </c>
      <c r="Y14" s="123" t="n">
        <v>12.44</v>
      </c>
      <c r="Z14" s="123" t="n">
        <v>40</v>
      </c>
      <c r="AA14" s="124">
        <f>MIN(V14:Z14)</f>
        <v/>
      </c>
      <c r="AB14" s="125">
        <f>MEDIAN(V14:Z14)</f>
        <v/>
      </c>
      <c r="AC14" s="126">
        <f>MAX(V14:Z14)</f>
        <v/>
      </c>
      <c r="AD14" s="127">
        <f>IFERROR((AC14-AA14)/AB14,"—")</f>
        <v/>
      </c>
      <c r="AE14" s="128">
        <f>AVERAGE(G14,H14)</f>
        <v/>
      </c>
      <c r="AF14" s="129" t="inlineStr">
        <is>
          <t>OK — sources align</t>
        </is>
      </c>
      <c r="AG14" s="130" t="inlineStr">
        <is>
          <t>size-matched</t>
        </is>
      </c>
      <c r="AH14" s="127">
        <f>IFERROR((AB14-AE14)/AE14,"—")</f>
        <v/>
      </c>
      <c r="AI14" s="127">
        <f>IFERROR((S14-AE14)/AE14,"—")</f>
        <v/>
      </c>
      <c r="AJ14" s="131">
        <f>IF(AD14&gt;1, "⚠ HIGH SPREAD", IF(ABS(AH14)&gt;0.5, "⚠ DELTA", "OK"))</f>
        <v/>
      </c>
    </row>
    <row r="15" ht="27.75" customHeight="1" s="56">
      <c r="A15" s="78" t="n"/>
      <c r="B15" s="78" t="inlineStr">
        <is>
          <t>C-10-008</t>
        </is>
      </c>
      <c r="C15" s="59" t="inlineStr">
        <is>
          <t>Overburden strip - doze + rip + stockpile</t>
        </is>
      </c>
      <c r="D15" s="78" t="inlineStr">
        <is>
          <t>m3</t>
        </is>
      </c>
      <c r="E15" s="79" t="n">
        <v>17</v>
      </c>
      <c r="F15" s="79" t="n">
        <v>29</v>
      </c>
      <c r="G15" s="79" t="n">
        <v>16</v>
      </c>
      <c r="H15" s="79" t="n">
        <v>29</v>
      </c>
      <c r="I15" s="80" t="n">
        <v>18</v>
      </c>
      <c r="J15" s="80" t="n">
        <v>33</v>
      </c>
      <c r="K15" s="80" t="n">
        <v>18</v>
      </c>
      <c r="L15" s="80" t="n">
        <v>30</v>
      </c>
      <c r="M15" s="81" t="n">
        <v>19</v>
      </c>
      <c r="N15" s="81" t="n">
        <v>38</v>
      </c>
      <c r="O15" s="81" t="n">
        <v>20</v>
      </c>
      <c r="P15" s="81" t="n">
        <v>36</v>
      </c>
      <c r="Q15" s="82" t="n">
        <v>23</v>
      </c>
      <c r="R15" s="82" t="n">
        <v>43</v>
      </c>
      <c r="S15" s="78" t="inlineStr">
        <is>
          <t>-</t>
        </is>
      </c>
      <c r="T15" s="78" t="inlineStr">
        <is>
          <t>-</t>
        </is>
      </c>
      <c r="U15" s="78" t="inlineStr">
        <is>
          <t>-</t>
        </is>
      </c>
      <c r="V15" s="123" t="n">
        <v>30.15</v>
      </c>
      <c r="W15" s="123" t="n">
        <v>17.2</v>
      </c>
      <c r="X15" s="123" t="n">
        <v>8.789999999999999</v>
      </c>
      <c r="Y15" s="123" t="n">
        <v>26.47</v>
      </c>
      <c r="Z15" s="123" t="n">
        <v>15</v>
      </c>
      <c r="AA15" s="124">
        <f>MIN(V15:Z15)</f>
        <v/>
      </c>
      <c r="AB15" s="125">
        <f>MEDIAN(V15:Z15)</f>
        <v/>
      </c>
      <c r="AC15" s="126">
        <f>MAX(V15:Z15)</f>
        <v/>
      </c>
      <c r="AD15" s="127">
        <f>IFERROR((AC15-AA15)/AB15,"—")</f>
        <v/>
      </c>
      <c r="AE15" s="128">
        <f>AVERAGE(G15,H15)</f>
        <v/>
      </c>
      <c r="AF15" s="129" t="inlineStr">
        <is>
          <t>OK — sources align</t>
        </is>
      </c>
      <c r="AG15" s="130" t="inlineStr">
        <is>
          <t>category-fallback</t>
        </is>
      </c>
      <c r="AH15" s="127">
        <f>IFERROR((AB15-AE15)/AE15,"—")</f>
        <v/>
      </c>
      <c r="AI15" s="127">
        <f>IFERROR((S15-AE15)/AE15,"—")</f>
        <v/>
      </c>
      <c r="AJ15" s="131">
        <f>IF(AD15&gt;1, "⚠ HIGH SPREAD", IF(ABS(AH15)&gt;0.5, "⚠ DELTA", "OK"))</f>
        <v/>
      </c>
    </row>
    <row r="16" ht="27.75" customHeight="1" s="56">
      <c r="A16" s="78" t="n"/>
      <c r="B16" s="78" t="inlineStr">
        <is>
          <t>C-10-007</t>
        </is>
      </c>
      <c r="C16" s="59" t="inlineStr">
        <is>
          <t>Rock excavation - blasted and loaded to truck</t>
        </is>
      </c>
      <c r="D16" s="78" t="inlineStr">
        <is>
          <t>m3</t>
        </is>
      </c>
      <c r="E16" s="79" t="n">
        <v>35</v>
      </c>
      <c r="F16" s="79" t="n">
        <v>61</v>
      </c>
      <c r="G16" s="79" t="n">
        <v>33</v>
      </c>
      <c r="H16" s="79" t="n">
        <v>59</v>
      </c>
      <c r="I16" s="80" t="n">
        <v>39</v>
      </c>
      <c r="J16" s="80" t="n">
        <v>68</v>
      </c>
      <c r="K16" s="80" t="n">
        <v>38</v>
      </c>
      <c r="L16" s="80" t="n">
        <v>63</v>
      </c>
      <c r="M16" s="81" t="n">
        <v>40</v>
      </c>
      <c r="N16" s="81" t="n">
        <v>78</v>
      </c>
      <c r="O16" s="81" t="n">
        <v>42</v>
      </c>
      <c r="P16" s="81" t="n">
        <v>75</v>
      </c>
      <c r="Q16" s="82" t="n">
        <v>49</v>
      </c>
      <c r="R16" s="82" t="n">
        <v>90</v>
      </c>
      <c r="S16" s="78" t="inlineStr">
        <is>
          <t>-</t>
        </is>
      </c>
      <c r="T16" s="78" t="inlineStr">
        <is>
          <t>-</t>
        </is>
      </c>
      <c r="U16" s="78" t="inlineStr">
        <is>
          <t>-</t>
        </is>
      </c>
      <c r="V16" s="123" t="n">
        <v>8.75</v>
      </c>
      <c r="W16" s="123" t="n">
        <v>16.34</v>
      </c>
      <c r="X16" s="123" t="n">
        <v>19.39</v>
      </c>
      <c r="Y16" s="123" t="n">
        <v>10.3</v>
      </c>
      <c r="Z16" s="123" t="n">
        <v>13.5</v>
      </c>
      <c r="AA16" s="124">
        <f>MIN(V16:Z16)</f>
        <v/>
      </c>
      <c r="AB16" s="125">
        <f>MEDIAN(V16:Z16)</f>
        <v/>
      </c>
      <c r="AC16" s="126">
        <f>MAX(V16:Z16)</f>
        <v/>
      </c>
      <c r="AD16" s="127">
        <f>IFERROR((AC16-AA16)/AB16,"—")</f>
        <v/>
      </c>
      <c r="AE16" s="128">
        <f>AVERAGE(G16,H16)</f>
        <v/>
      </c>
      <c r="AF16" s="129" t="inlineStr">
        <is>
          <t>OK — sources align</t>
        </is>
      </c>
      <c r="AG16" s="130" t="inlineStr">
        <is>
          <t>keyword-matched</t>
        </is>
      </c>
      <c r="AH16" s="127">
        <f>IFERROR((AB16-AE16)/AE16,"—")</f>
        <v/>
      </c>
      <c r="AI16" s="127">
        <f>IFERROR((S16-AE16)/AE16,"—")</f>
        <v/>
      </c>
      <c r="AJ16" s="131">
        <f>IF(AD16&gt;1, "⚠ HIGH SPREAD", IF(ABS(AH16)&gt;0.5, "⚠ DELTA", "OK"))</f>
        <v/>
      </c>
    </row>
    <row r="17" ht="27.75" customHeight="1" s="56">
      <c r="A17" s="78" t="n"/>
      <c r="B17" s="78" t="inlineStr">
        <is>
          <t>C-10-011</t>
        </is>
      </c>
      <c r="C17" s="59" t="inlineStr">
        <is>
          <t>Sand bedding layer - supply+place+compact</t>
        </is>
      </c>
      <c r="D17" s="78" t="inlineStr">
        <is>
          <t>m3</t>
        </is>
      </c>
      <c r="E17" s="79" t="n">
        <v>106</v>
      </c>
      <c r="F17" s="79" t="n">
        <v>152</v>
      </c>
      <c r="G17" s="79" t="n">
        <v>101</v>
      </c>
      <c r="H17" s="79" t="n">
        <v>148</v>
      </c>
      <c r="I17" s="80" t="n">
        <v>117</v>
      </c>
      <c r="J17" s="80" t="n">
        <v>171</v>
      </c>
      <c r="K17" s="80" t="n">
        <v>115</v>
      </c>
      <c r="L17" s="80" t="n">
        <v>157</v>
      </c>
      <c r="M17" s="81" t="n">
        <v>121</v>
      </c>
      <c r="N17" s="81" t="n">
        <v>196</v>
      </c>
      <c r="O17" s="81" t="n">
        <v>127</v>
      </c>
      <c r="P17" s="81" t="n">
        <v>188</v>
      </c>
      <c r="Q17" s="82" t="n">
        <v>150</v>
      </c>
      <c r="R17" s="82" t="n">
        <v>225</v>
      </c>
      <c r="S17" s="83" t="n">
        <v>91.03400000000001</v>
      </c>
      <c r="T17" s="78" t="inlineStr">
        <is>
          <t>-</t>
        </is>
      </c>
      <c r="U17" s="78" t="inlineStr">
        <is>
          <t>-</t>
        </is>
      </c>
      <c r="V17" s="123" t="n">
        <v>116</v>
      </c>
      <c r="W17" s="123" t="n">
        <v>51.94</v>
      </c>
      <c r="X17" s="123" t="n">
        <v>36.72</v>
      </c>
      <c r="Y17" s="123" t="n">
        <v>12.44</v>
      </c>
      <c r="Z17" s="123" t="n">
        <v>70</v>
      </c>
      <c r="AA17" s="124">
        <f>MIN(V17:Z17)</f>
        <v/>
      </c>
      <c r="AB17" s="125">
        <f>MEDIAN(V17:Z17)</f>
        <v/>
      </c>
      <c r="AC17" s="126">
        <f>MAX(V17:Z17)</f>
        <v/>
      </c>
      <c r="AD17" s="127">
        <f>IFERROR((AC17-AA17)/AB17,"—")</f>
        <v/>
      </c>
      <c r="AE17" s="128">
        <f>AVERAGE(G17,H17)</f>
        <v/>
      </c>
      <c r="AF17" s="129" t="inlineStr">
        <is>
          <t>OK — sources align</t>
        </is>
      </c>
      <c r="AG17" s="130" t="inlineStr">
        <is>
          <t>keyword-matched</t>
        </is>
      </c>
      <c r="AH17" s="127">
        <f>IFERROR((AB17-AE17)/AE17,"—")</f>
        <v/>
      </c>
      <c r="AI17" s="127">
        <f>IFERROR((S17-AE17)/AE17,"—")</f>
        <v/>
      </c>
      <c r="AJ17" s="131">
        <f>IF(AD17&gt;1, "⚠ HIGH SPREAD", IF(ABS(AH17)&gt;0.5, "⚠ DELTA", "OK"))</f>
        <v/>
      </c>
    </row>
    <row r="18" ht="27.75" customHeight="1" s="56">
      <c r="A18" s="78" t="n"/>
      <c r="B18" s="78" t="inlineStr">
        <is>
          <t>C-10-013</t>
        </is>
      </c>
      <c r="C18" s="59" t="inlineStr">
        <is>
          <t>Seeding and restoration - hydraulic</t>
        </is>
      </c>
      <c r="D18" s="78" t="inlineStr">
        <is>
          <t>m2</t>
        </is>
      </c>
      <c r="E18" s="79" t="n">
        <v>4</v>
      </c>
      <c r="F18" s="79" t="n">
        <v>8</v>
      </c>
      <c r="G18" s="79" t="n">
        <v>4</v>
      </c>
      <c r="H18" s="79" t="n">
        <v>8</v>
      </c>
      <c r="I18" s="80" t="n">
        <v>4</v>
      </c>
      <c r="J18" s="80" t="n">
        <v>9</v>
      </c>
      <c r="K18" s="80" t="n">
        <v>4</v>
      </c>
      <c r="L18" s="80" t="n">
        <v>9</v>
      </c>
      <c r="M18" s="81" t="n">
        <v>4</v>
      </c>
      <c r="N18" s="81" t="n">
        <v>11</v>
      </c>
      <c r="O18" s="81" t="n">
        <v>4</v>
      </c>
      <c r="P18" s="81" t="n">
        <v>10</v>
      </c>
      <c r="Q18" s="82" t="n">
        <v>5</v>
      </c>
      <c r="R18" s="82" t="n">
        <v>12</v>
      </c>
      <c r="S18" s="78" t="inlineStr">
        <is>
          <t>-</t>
        </is>
      </c>
      <c r="T18" s="78" t="inlineStr">
        <is>
          <t>-</t>
        </is>
      </c>
      <c r="U18" s="78" t="inlineStr">
        <is>
          <t>-</t>
        </is>
      </c>
      <c r="V18" s="123" t="n">
        <v>11.1</v>
      </c>
      <c r="W18" s="132" t="inlineStr">
        <is>
          <t>—</t>
        </is>
      </c>
      <c r="X18" s="123" t="n">
        <v>14.54</v>
      </c>
      <c r="Y18" s="133" t="inlineStr">
        <is>
          <t>—</t>
        </is>
      </c>
      <c r="Z18" s="123" t="n">
        <v>5</v>
      </c>
      <c r="AA18" s="124">
        <f>MIN(V18:Z18)</f>
        <v/>
      </c>
      <c r="AB18" s="125">
        <f>MEDIAN(V18:Z18)</f>
        <v/>
      </c>
      <c r="AC18" s="126">
        <f>MAX(V18:Z18)</f>
        <v/>
      </c>
      <c r="AD18" s="127">
        <f>IFERROR((AC18-AA18)/AB18,"—")</f>
        <v/>
      </c>
      <c r="AE18" s="128">
        <f>AVERAGE(G18,H18)</f>
        <v/>
      </c>
      <c r="AF18" s="129" t="inlineStr">
        <is>
          <t>OK — sources align</t>
        </is>
      </c>
      <c r="AG18" s="130" t="inlineStr">
        <is>
          <t>category-fallback</t>
        </is>
      </c>
      <c r="AH18" s="127">
        <f>IFERROR((AB18-AE18)/AE18,"—")</f>
        <v/>
      </c>
      <c r="AI18" s="127">
        <f>IFERROR((S18-AE18)/AE18,"—")</f>
        <v/>
      </c>
      <c r="AJ18" s="131">
        <f>IF(AD18&gt;1, "⚠ HIGH SPREAD", IF(ABS(AH18)&gt;0.5, "⚠ DELTA", "OK"))</f>
        <v/>
      </c>
    </row>
    <row r="19" ht="27.75" customHeight="1" s="56">
      <c r="A19" s="78" t="n"/>
      <c r="B19" s="78" t="inlineStr">
        <is>
          <t>C-10-015</t>
        </is>
      </c>
      <c r="C19" s="59" t="inlineStr">
        <is>
          <t>Settling pond / water management excavation</t>
        </is>
      </c>
      <c r="D19" s="78" t="inlineStr">
        <is>
          <t>m3</t>
        </is>
      </c>
      <c r="E19" s="79" t="n">
        <v>20</v>
      </c>
      <c r="F19" s="79" t="n">
        <v>29</v>
      </c>
      <c r="G19" s="79" t="n">
        <v>19</v>
      </c>
      <c r="H19" s="79" t="n">
        <v>29</v>
      </c>
      <c r="I19" s="80" t="n">
        <v>22</v>
      </c>
      <c r="J19" s="80" t="n">
        <v>33</v>
      </c>
      <c r="K19" s="80" t="n">
        <v>22</v>
      </c>
      <c r="L19" s="80" t="n">
        <v>30</v>
      </c>
      <c r="M19" s="81" t="n">
        <v>23</v>
      </c>
      <c r="N19" s="81" t="n">
        <v>38</v>
      </c>
      <c r="O19" s="81" t="n">
        <v>24</v>
      </c>
      <c r="P19" s="81" t="n">
        <v>36</v>
      </c>
      <c r="Q19" s="82" t="n">
        <v>29</v>
      </c>
      <c r="R19" s="82" t="n">
        <v>43</v>
      </c>
      <c r="S19" s="83" t="n">
        <v>2.47</v>
      </c>
      <c r="T19" s="78" t="inlineStr">
        <is>
          <t>-</t>
        </is>
      </c>
      <c r="U19" s="78" t="inlineStr">
        <is>
          <t>-</t>
        </is>
      </c>
      <c r="V19" s="123" t="n">
        <v>9.949999999999999</v>
      </c>
      <c r="W19" s="123" t="n">
        <v>14.4</v>
      </c>
      <c r="X19" s="123" t="n">
        <v>45.33</v>
      </c>
      <c r="Y19" s="123" t="n">
        <v>10.7</v>
      </c>
      <c r="Z19" s="123" t="n">
        <v>9.5</v>
      </c>
      <c r="AA19" s="124">
        <f>MIN(V19:Z19)</f>
        <v/>
      </c>
      <c r="AB19" s="125">
        <f>MEDIAN(V19:Z19)</f>
        <v/>
      </c>
      <c r="AC19" s="126">
        <f>MAX(V19:Z19)</f>
        <v/>
      </c>
      <c r="AD19" s="127">
        <f>IFERROR((AC19-AA19)/AB19,"—")</f>
        <v/>
      </c>
      <c r="AE19" s="128">
        <f>AVERAGE(G19,H19)</f>
        <v/>
      </c>
      <c r="AF19" s="129" t="inlineStr">
        <is>
          <t>OK — sources align</t>
        </is>
      </c>
      <c r="AG19" s="130" t="inlineStr">
        <is>
          <t>keyword-matched</t>
        </is>
      </c>
      <c r="AH19" s="127">
        <f>IFERROR((AB19-AE19)/AE19,"—")</f>
        <v/>
      </c>
      <c r="AI19" s="127">
        <f>IFERROR((S19-AE19)/AE19,"—")</f>
        <v/>
      </c>
      <c r="AJ19" s="131">
        <f>IF(AD19&gt;1, "⚠ HIGH SPREAD", IF(ABS(AH19)&gt;0.5, "⚠ DELTA", "OK"))</f>
        <v/>
      </c>
    </row>
    <row r="20" ht="27.75" customHeight="1" s="56">
      <c r="A20" s="78" t="n"/>
      <c r="B20" s="78" t="inlineStr">
        <is>
          <t>C-10-012</t>
        </is>
      </c>
      <c r="C20" s="59" t="inlineStr">
        <is>
          <t>Topsoil placement - supply+spread</t>
        </is>
      </c>
      <c r="D20" s="78" t="inlineStr">
        <is>
          <t>m3</t>
        </is>
      </c>
      <c r="E20" s="79" t="n">
        <v>51</v>
      </c>
      <c r="F20" s="79" t="n">
        <v>84</v>
      </c>
      <c r="G20" s="79" t="n">
        <v>48</v>
      </c>
      <c r="H20" s="79" t="n">
        <v>82</v>
      </c>
      <c r="I20" s="80" t="n">
        <v>56</v>
      </c>
      <c r="J20" s="80" t="n">
        <v>94</v>
      </c>
      <c r="K20" s="80" t="n">
        <v>55</v>
      </c>
      <c r="L20" s="80" t="n">
        <v>86</v>
      </c>
      <c r="M20" s="81" t="n">
        <v>58</v>
      </c>
      <c r="N20" s="81" t="n">
        <v>108</v>
      </c>
      <c r="O20" s="81" t="n">
        <v>61</v>
      </c>
      <c r="P20" s="81" t="n">
        <v>104</v>
      </c>
      <c r="Q20" s="82" t="n">
        <v>72</v>
      </c>
      <c r="R20" s="82" t="n">
        <v>124</v>
      </c>
      <c r="S20" s="83" t="n">
        <v>10</v>
      </c>
      <c r="T20" s="78" t="inlineStr">
        <is>
          <t>-</t>
        </is>
      </c>
      <c r="U20" s="78" t="inlineStr">
        <is>
          <t>-</t>
        </is>
      </c>
      <c r="V20" s="123" t="n">
        <v>13.95</v>
      </c>
      <c r="W20" s="123" t="n">
        <v>49.78</v>
      </c>
      <c r="X20" s="123" t="n">
        <v>9.68</v>
      </c>
      <c r="Y20" s="123" t="n">
        <v>12.44</v>
      </c>
      <c r="Z20" s="123" t="n">
        <v>15</v>
      </c>
      <c r="AA20" s="124">
        <f>MIN(V20:Z20)</f>
        <v/>
      </c>
      <c r="AB20" s="125">
        <f>MEDIAN(V20:Z20)</f>
        <v/>
      </c>
      <c r="AC20" s="126">
        <f>MAX(V20:Z20)</f>
        <v/>
      </c>
      <c r="AD20" s="127">
        <f>IFERROR((AC20-AA20)/AB20,"—")</f>
        <v/>
      </c>
      <c r="AE20" s="128">
        <f>AVERAGE(G20,H20)</f>
        <v/>
      </c>
      <c r="AF20" s="129" t="inlineStr">
        <is>
          <t>OK — sources align</t>
        </is>
      </c>
      <c r="AG20" s="130" t="inlineStr">
        <is>
          <t>keyword-matched</t>
        </is>
      </c>
      <c r="AH20" s="127">
        <f>IFERROR((AB20-AE20)/AE20,"—")</f>
        <v/>
      </c>
      <c r="AI20" s="127">
        <f>IFERROR((S20-AE20)/AE20,"—")</f>
        <v/>
      </c>
      <c r="AJ20" s="131">
        <f>IF(AD20&gt;1, "⚠ HIGH SPREAD", IF(ABS(AH20)&gt;0.5, "⚠ DELTA", "OK"))</f>
        <v/>
      </c>
    </row>
    <row r="21" ht="19.5" customHeight="1" s="56">
      <c r="A21" s="77" t="inlineStr">
        <is>
          <t>B. Water Mgmt</t>
        </is>
      </c>
    </row>
    <row r="22" ht="27.75" customHeight="1" s="56">
      <c r="A22" s="78" t="n"/>
      <c r="B22" s="78" t="inlineStr">
        <is>
          <t>C-20-005</t>
        </is>
      </c>
      <c r="C22" s="59" t="inlineStr">
        <is>
          <t>Energy dissipator riprap - full S+P</t>
        </is>
      </c>
      <c r="D22" s="78" t="inlineStr">
        <is>
          <t>m3</t>
        </is>
      </c>
      <c r="E22" s="79" t="n">
        <v>110</v>
      </c>
      <c r="F22" s="79" t="n">
        <v>210</v>
      </c>
      <c r="G22" s="79" t="n">
        <v>106</v>
      </c>
      <c r="H22" s="79" t="n">
        <v>204</v>
      </c>
      <c r="I22" s="80" t="n">
        <v>122</v>
      </c>
      <c r="J22" s="80" t="n">
        <v>236</v>
      </c>
      <c r="K22" s="80" t="n">
        <v>120</v>
      </c>
      <c r="L22" s="80" t="n">
        <v>216</v>
      </c>
      <c r="M22" s="81" t="n">
        <v>126</v>
      </c>
      <c r="N22" s="81" t="n">
        <v>270</v>
      </c>
      <c r="O22" s="81" t="n">
        <v>132</v>
      </c>
      <c r="P22" s="81" t="n">
        <v>260</v>
      </c>
      <c r="Q22" s="82" t="n">
        <v>156</v>
      </c>
      <c r="R22" s="82" t="n">
        <v>310</v>
      </c>
      <c r="S22" s="83" t="n">
        <v>19.657</v>
      </c>
      <c r="T22" s="78" t="inlineStr">
        <is>
          <t>-</t>
        </is>
      </c>
      <c r="U22" s="78" t="inlineStr">
        <is>
          <t>-</t>
        </is>
      </c>
      <c r="V22" s="123" t="n">
        <v>66.45</v>
      </c>
      <c r="W22" s="123" t="n">
        <v>70.09999999999999</v>
      </c>
      <c r="X22" s="123" t="n">
        <v>45.33</v>
      </c>
      <c r="Y22" s="123" t="n">
        <v>9.42</v>
      </c>
      <c r="Z22" s="123" t="n">
        <v>60</v>
      </c>
      <c r="AA22" s="124">
        <f>MIN(V22:Z22)</f>
        <v/>
      </c>
      <c r="AB22" s="125">
        <f>MEDIAN(V22:Z22)</f>
        <v/>
      </c>
      <c r="AC22" s="126">
        <f>MAX(V22:Z22)</f>
        <v/>
      </c>
      <c r="AD22" s="127">
        <f>IFERROR((AC22-AA22)/AB22,"—")</f>
        <v/>
      </c>
      <c r="AE22" s="128">
        <f>AVERAGE(G22,H22)</f>
        <v/>
      </c>
      <c r="AF22" s="129" t="inlineStr">
        <is>
          <t>OK — sources align</t>
        </is>
      </c>
      <c r="AG22" s="130" t="inlineStr">
        <is>
          <t>keyword-matched</t>
        </is>
      </c>
      <c r="AH22" s="127">
        <f>IFERROR((AB22-AE22)/AE22,"—")</f>
        <v/>
      </c>
      <c r="AI22" s="127">
        <f>IFERROR((S22-AE22)/AE22,"—")</f>
        <v/>
      </c>
      <c r="AJ22" s="131">
        <f>IF(AD22&gt;1, "⚠ HIGH SPREAD", IF(ABS(AH22)&gt;0.5, "⚠ DELTA", "OK"))</f>
        <v/>
      </c>
    </row>
    <row r="23" ht="27.75" customHeight="1" s="56">
      <c r="A23" s="78" t="n"/>
      <c r="B23" s="78" t="inlineStr">
        <is>
          <t>C-20-006</t>
        </is>
      </c>
      <c r="C23" s="59" t="inlineStr">
        <is>
          <t>Geotextile 10oz non-woven cushion - S+I</t>
        </is>
      </c>
      <c r="D23" s="78" t="inlineStr">
        <is>
          <t>m2</t>
        </is>
      </c>
      <c r="E23" s="79" t="n">
        <v>4</v>
      </c>
      <c r="F23" s="79" t="n">
        <v>9</v>
      </c>
      <c r="G23" s="79" t="n">
        <v>4</v>
      </c>
      <c r="H23" s="79" t="n">
        <v>9</v>
      </c>
      <c r="I23" s="80" t="n">
        <v>4</v>
      </c>
      <c r="J23" s="80" t="n">
        <v>11</v>
      </c>
      <c r="K23" s="80" t="n">
        <v>4</v>
      </c>
      <c r="L23" s="80" t="n">
        <v>10</v>
      </c>
      <c r="M23" s="81" t="n">
        <v>4</v>
      </c>
      <c r="N23" s="81" t="n">
        <v>12</v>
      </c>
      <c r="O23" s="81" t="n">
        <v>4</v>
      </c>
      <c r="P23" s="81" t="n">
        <v>12</v>
      </c>
      <c r="Q23" s="82" t="n">
        <v>5</v>
      </c>
      <c r="R23" s="82" t="n">
        <v>14</v>
      </c>
      <c r="S23" s="83" t="n">
        <v>6</v>
      </c>
      <c r="T23" s="78" t="inlineStr">
        <is>
          <t>-</t>
        </is>
      </c>
      <c r="U23" s="78" t="inlineStr">
        <is>
          <t>-</t>
        </is>
      </c>
      <c r="V23" s="123" t="n">
        <v>16.6</v>
      </c>
      <c r="W23" s="123" t="n">
        <v>5.68</v>
      </c>
      <c r="X23" s="123" t="n">
        <v>10.86</v>
      </c>
      <c r="Y23" s="123" t="n">
        <v>1.4</v>
      </c>
      <c r="Z23" s="123" t="n">
        <v>5</v>
      </c>
      <c r="AA23" s="124">
        <f>MIN(V23:Z23)</f>
        <v/>
      </c>
      <c r="AB23" s="125">
        <f>MEDIAN(V23:Z23)</f>
        <v/>
      </c>
      <c r="AC23" s="126">
        <f>MAX(V23:Z23)</f>
        <v/>
      </c>
      <c r="AD23" s="127">
        <f>IFERROR((AC23-AA23)/AB23,"—")</f>
        <v/>
      </c>
      <c r="AE23" s="128">
        <f>AVERAGE(G23,H23)</f>
        <v/>
      </c>
      <c r="AF23" s="129" t="inlineStr">
        <is>
          <t>OK — sources align</t>
        </is>
      </c>
      <c r="AG23" s="130" t="inlineStr">
        <is>
          <t>size-matched</t>
        </is>
      </c>
      <c r="AH23" s="127">
        <f>IFERROR((AB23-AE23)/AE23,"—")</f>
        <v/>
      </c>
      <c r="AI23" s="127">
        <f>IFERROR((S23-AE23)/AE23,"—")</f>
        <v/>
      </c>
      <c r="AJ23" s="131">
        <f>IF(AD23&gt;1, "⚠ HIGH SPREAD", IF(ABS(AH23)&gt;0.5, "⚠ DELTA", "OK"))</f>
        <v/>
      </c>
    </row>
    <row r="24" ht="27.75" customHeight="1" s="56">
      <c r="A24" s="78" t="n"/>
      <c r="B24" s="78" t="inlineStr">
        <is>
          <t>C-20-007</t>
        </is>
      </c>
      <c r="C24" s="59" t="inlineStr">
        <is>
          <t>Geotextile 6oz non-woven separator - S+I</t>
        </is>
      </c>
      <c r="D24" s="78" t="inlineStr">
        <is>
          <t>m2</t>
        </is>
      </c>
      <c r="E24" s="79" t="n">
        <v>3</v>
      </c>
      <c r="F24" s="79" t="n">
        <v>6</v>
      </c>
      <c r="G24" s="79" t="n">
        <v>3</v>
      </c>
      <c r="H24" s="79" t="n">
        <v>6</v>
      </c>
      <c r="I24" s="80" t="n">
        <v>3</v>
      </c>
      <c r="J24" s="80" t="n">
        <v>7</v>
      </c>
      <c r="K24" s="80" t="n">
        <v>3</v>
      </c>
      <c r="L24" s="80" t="n">
        <v>6</v>
      </c>
      <c r="M24" s="81" t="n">
        <v>3</v>
      </c>
      <c r="N24" s="81" t="n">
        <v>8</v>
      </c>
      <c r="O24" s="81" t="n">
        <v>3</v>
      </c>
      <c r="P24" s="81" t="n">
        <v>8</v>
      </c>
      <c r="Q24" s="82" t="n">
        <v>4</v>
      </c>
      <c r="R24" s="82" t="n">
        <v>9</v>
      </c>
      <c r="S24" s="83" t="n">
        <v>6</v>
      </c>
      <c r="T24" s="83" t="n">
        <v>2.82</v>
      </c>
      <c r="U24" s="78" t="inlineStr">
        <is>
          <t>-</t>
        </is>
      </c>
      <c r="V24" s="123" t="n">
        <v>16.6</v>
      </c>
      <c r="W24" s="123" t="n">
        <v>5.68</v>
      </c>
      <c r="X24" s="123" t="n">
        <v>10.86</v>
      </c>
      <c r="Y24" s="123" t="n">
        <v>1.4</v>
      </c>
      <c r="Z24" s="123" t="n">
        <v>5</v>
      </c>
      <c r="AA24" s="124">
        <f>MIN(V24:Z24)</f>
        <v/>
      </c>
      <c r="AB24" s="125">
        <f>MEDIAN(V24:Z24)</f>
        <v/>
      </c>
      <c r="AC24" s="126">
        <f>MAX(V24:Z24)</f>
        <v/>
      </c>
      <c r="AD24" s="127">
        <f>IFERROR((AC24-AA24)/AB24,"—")</f>
        <v/>
      </c>
      <c r="AE24" s="128">
        <f>AVERAGE(G24,H24)</f>
        <v/>
      </c>
      <c r="AF24" s="129" t="inlineStr">
        <is>
          <t>OK — sources align</t>
        </is>
      </c>
      <c r="AG24" s="130" t="inlineStr">
        <is>
          <t>keyword-matched</t>
        </is>
      </c>
      <c r="AH24" s="127">
        <f>IFERROR((AB24-AE24)/AE24,"—")</f>
        <v/>
      </c>
      <c r="AI24" s="127">
        <f>IFERROR((S24-AE24)/AE24,"—")</f>
        <v/>
      </c>
      <c r="AJ24" s="131">
        <f>IF(AD24&gt;1, "⚠ HIGH SPREAD", IF(ABS(AH24)&gt;0.5, "⚠ DELTA", "OK"))</f>
        <v/>
      </c>
    </row>
    <row r="25" ht="27.75" customHeight="1" s="56">
      <c r="A25" s="78" t="n"/>
      <c r="B25" s="78" t="inlineStr">
        <is>
          <t>C-20-002</t>
        </is>
      </c>
      <c r="C25" s="59" t="inlineStr">
        <is>
          <t>Riprap D50 150mm entrance/exit - supply+place</t>
        </is>
      </c>
      <c r="D25" s="78" t="inlineStr">
        <is>
          <t>m3</t>
        </is>
      </c>
      <c r="E25" s="79" t="n">
        <v>60</v>
      </c>
      <c r="F25" s="79" t="n">
        <v>105</v>
      </c>
      <c r="G25" s="79" t="n">
        <v>57</v>
      </c>
      <c r="H25" s="79" t="n">
        <v>102</v>
      </c>
      <c r="I25" s="80" t="n">
        <v>66</v>
      </c>
      <c r="J25" s="80" t="n">
        <v>118</v>
      </c>
      <c r="K25" s="80" t="n">
        <v>65</v>
      </c>
      <c r="L25" s="80" t="n">
        <v>108</v>
      </c>
      <c r="M25" s="81" t="n">
        <v>68</v>
      </c>
      <c r="N25" s="81" t="n">
        <v>135</v>
      </c>
      <c r="O25" s="81" t="n">
        <v>72</v>
      </c>
      <c r="P25" s="81" t="n">
        <v>130</v>
      </c>
      <c r="Q25" s="82" t="n">
        <v>84</v>
      </c>
      <c r="R25" s="82" t="n">
        <v>155</v>
      </c>
      <c r="S25" s="83" t="n">
        <v>19.657</v>
      </c>
      <c r="T25" s="83" t="n">
        <v>313.41</v>
      </c>
      <c r="U25" s="78" t="inlineStr">
        <is>
          <t>-</t>
        </is>
      </c>
      <c r="V25" s="123" t="n">
        <v>66.45</v>
      </c>
      <c r="W25" s="123" t="n">
        <v>70.09999999999999</v>
      </c>
      <c r="X25" s="123" t="n">
        <v>45.33</v>
      </c>
      <c r="Y25" s="123" t="n">
        <v>12.44</v>
      </c>
      <c r="Z25" s="123" t="n">
        <v>40</v>
      </c>
      <c r="AA25" s="124">
        <f>MIN(V25:Z25)</f>
        <v/>
      </c>
      <c r="AB25" s="125">
        <f>MEDIAN(V25:Z25)</f>
        <v/>
      </c>
      <c r="AC25" s="126">
        <f>MAX(V25:Z25)</f>
        <v/>
      </c>
      <c r="AD25" s="127">
        <f>IFERROR((AC25-AA25)/AB25,"—")</f>
        <v/>
      </c>
      <c r="AE25" s="128">
        <f>AVERAGE(G25,H25)</f>
        <v/>
      </c>
      <c r="AF25" s="129" t="inlineStr">
        <is>
          <t>OK — sources align</t>
        </is>
      </c>
      <c r="AG25" s="130" t="inlineStr">
        <is>
          <t>size-matched</t>
        </is>
      </c>
      <c r="AH25" s="127">
        <f>IFERROR((AB25-AE25)/AE25,"—")</f>
        <v/>
      </c>
      <c r="AI25" s="127">
        <f>IFERROR((S25-AE25)/AE25,"—")</f>
        <v/>
      </c>
      <c r="AJ25" s="131">
        <f>IF(AD25&gt;1, "⚠ HIGH SPREAD", IF(ABS(AH25)&gt;0.5, "⚠ DELTA", "OK"))</f>
        <v/>
      </c>
    </row>
    <row r="26" ht="27.75" customHeight="1" s="56">
      <c r="A26" s="78" t="n"/>
      <c r="B26" s="78" t="inlineStr">
        <is>
          <t>C-20-003</t>
        </is>
      </c>
      <c r="C26" s="59" t="inlineStr">
        <is>
          <t>Riprap D50 300mm - supply+place</t>
        </is>
      </c>
      <c r="D26" s="78" t="inlineStr">
        <is>
          <t>m3</t>
        </is>
      </c>
      <c r="E26" s="79" t="n">
        <v>69</v>
      </c>
      <c r="F26" s="79" t="n">
        <v>126</v>
      </c>
      <c r="G26" s="79" t="n">
        <v>66</v>
      </c>
      <c r="H26" s="79" t="n">
        <v>122</v>
      </c>
      <c r="I26" s="80" t="n">
        <v>76</v>
      </c>
      <c r="J26" s="80" t="n">
        <v>142</v>
      </c>
      <c r="K26" s="80" t="n">
        <v>75</v>
      </c>
      <c r="L26" s="80" t="n">
        <v>130</v>
      </c>
      <c r="M26" s="81" t="n">
        <v>79</v>
      </c>
      <c r="N26" s="81" t="n">
        <v>162</v>
      </c>
      <c r="O26" s="81" t="n">
        <v>82</v>
      </c>
      <c r="P26" s="81" t="n">
        <v>156</v>
      </c>
      <c r="Q26" s="82" t="n">
        <v>98</v>
      </c>
      <c r="R26" s="82" t="n">
        <v>186</v>
      </c>
      <c r="S26" s="78" t="inlineStr">
        <is>
          <t>-</t>
        </is>
      </c>
      <c r="T26" s="83" t="n">
        <v>265.82</v>
      </c>
      <c r="U26" s="78" t="inlineStr">
        <is>
          <t>-</t>
        </is>
      </c>
      <c r="V26" s="123" t="n">
        <v>35.25</v>
      </c>
      <c r="W26" s="123" t="n">
        <v>51.94</v>
      </c>
      <c r="X26" s="123" t="n">
        <v>11.42</v>
      </c>
      <c r="Y26" s="123" t="n">
        <v>12.44</v>
      </c>
      <c r="Z26" s="123" t="n">
        <v>40</v>
      </c>
      <c r="AA26" s="124">
        <f>MIN(V26:Z26)</f>
        <v/>
      </c>
      <c r="AB26" s="125">
        <f>MEDIAN(V26:Z26)</f>
        <v/>
      </c>
      <c r="AC26" s="126">
        <f>MAX(V26:Z26)</f>
        <v/>
      </c>
      <c r="AD26" s="127">
        <f>IFERROR((AC26-AA26)/AB26,"—")</f>
        <v/>
      </c>
      <c r="AE26" s="128">
        <f>AVERAGE(G26,H26)</f>
        <v/>
      </c>
      <c r="AF26" s="129" t="inlineStr">
        <is>
          <t>OK — sources align</t>
        </is>
      </c>
      <c r="AG26" s="130" t="inlineStr">
        <is>
          <t>size-matched</t>
        </is>
      </c>
      <c r="AH26" s="127">
        <f>IFERROR((AB26-AE26)/AE26,"—")</f>
        <v/>
      </c>
      <c r="AI26" s="127">
        <f>IFERROR((S26-AE26)/AE26,"—")</f>
        <v/>
      </c>
      <c r="AJ26" s="131">
        <f>IF(AD26&gt;1, "⚠ HIGH SPREAD", IF(ABS(AH26)&gt;0.5, "⚠ DELTA", "OK"))</f>
        <v/>
      </c>
    </row>
    <row r="27" ht="27.75" customHeight="1" s="56">
      <c r="A27" s="78" t="n"/>
      <c r="B27" s="78" t="inlineStr">
        <is>
          <t>C-20-004</t>
        </is>
      </c>
      <c r="C27" s="59" t="inlineStr">
        <is>
          <t>Riprap D50 600mm heavy - supply+place</t>
        </is>
      </c>
      <c r="D27" s="78" t="inlineStr">
        <is>
          <t>m3</t>
        </is>
      </c>
      <c r="E27" s="79" t="n">
        <v>78</v>
      </c>
      <c r="F27" s="79" t="n">
        <v>147</v>
      </c>
      <c r="G27" s="79" t="n">
        <v>75</v>
      </c>
      <c r="H27" s="79" t="n">
        <v>143</v>
      </c>
      <c r="I27" s="80" t="n">
        <v>87</v>
      </c>
      <c r="J27" s="80" t="n">
        <v>165</v>
      </c>
      <c r="K27" s="80" t="n">
        <v>85</v>
      </c>
      <c r="L27" s="80" t="n">
        <v>151</v>
      </c>
      <c r="M27" s="81" t="n">
        <v>89</v>
      </c>
      <c r="N27" s="81" t="n">
        <v>189</v>
      </c>
      <c r="O27" s="81" t="n">
        <v>94</v>
      </c>
      <c r="P27" s="81" t="n">
        <v>182</v>
      </c>
      <c r="Q27" s="82" t="n">
        <v>110</v>
      </c>
      <c r="R27" s="82" t="n">
        <v>217</v>
      </c>
      <c r="S27" s="78" t="inlineStr">
        <is>
          <t>-</t>
        </is>
      </c>
      <c r="T27" s="78" t="inlineStr">
        <is>
          <t>-</t>
        </is>
      </c>
      <c r="U27" s="78" t="inlineStr">
        <is>
          <t>-</t>
        </is>
      </c>
      <c r="V27" s="123" t="n">
        <v>66.45</v>
      </c>
      <c r="W27" s="123" t="n">
        <v>85.97</v>
      </c>
      <c r="X27" s="123" t="n">
        <v>13.85</v>
      </c>
      <c r="Y27" s="123" t="n">
        <v>12.44</v>
      </c>
      <c r="Z27" s="123" t="n">
        <v>60</v>
      </c>
      <c r="AA27" s="124">
        <f>MIN(V27:Z27)</f>
        <v/>
      </c>
      <c r="AB27" s="125">
        <f>MEDIAN(V27:Z27)</f>
        <v/>
      </c>
      <c r="AC27" s="126">
        <f>MAX(V27:Z27)</f>
        <v/>
      </c>
      <c r="AD27" s="127">
        <f>IFERROR((AC27-AA27)/AB27,"—")</f>
        <v/>
      </c>
      <c r="AE27" s="128">
        <f>AVERAGE(G27,H27)</f>
        <v/>
      </c>
      <c r="AF27" s="129" t="inlineStr">
        <is>
          <t>OK — sources align</t>
        </is>
      </c>
      <c r="AG27" s="130" t="inlineStr">
        <is>
          <t>size-matched</t>
        </is>
      </c>
      <c r="AH27" s="127">
        <f>IFERROR((AB27-AE27)/AE27,"—")</f>
        <v/>
      </c>
      <c r="AI27" s="127">
        <f>IFERROR((S27-AE27)/AE27,"—")</f>
        <v/>
      </c>
      <c r="AJ27" s="131">
        <f>IF(AD27&gt;1, "⚠ HIGH SPREAD", IF(ABS(AH27)&gt;0.5, "⚠ DELTA", "OK"))</f>
        <v/>
      </c>
    </row>
    <row r="28" ht="27.75" customHeight="1" s="56">
      <c r="A28" s="78" t="n"/>
      <c r="B28" s="78" t="inlineStr">
        <is>
          <t>C-20-010</t>
        </is>
      </c>
      <c r="C28" s="59" t="inlineStr">
        <is>
          <t>Sediment dewatering bag - S+I</t>
        </is>
      </c>
      <c r="D28" s="78" t="inlineStr">
        <is>
          <t>ea</t>
        </is>
      </c>
      <c r="E28" s="79" t="n">
        <v>1104</v>
      </c>
      <c r="F28" s="79" t="n">
        <v>1680</v>
      </c>
      <c r="G28" s="79" t="n">
        <v>1056</v>
      </c>
      <c r="H28" s="79" t="n">
        <v>1632</v>
      </c>
      <c r="I28" s="80" t="n">
        <v>1224</v>
      </c>
      <c r="J28" s="80" t="n">
        <v>1888</v>
      </c>
      <c r="K28" s="80" t="n">
        <v>1200</v>
      </c>
      <c r="L28" s="80" t="n">
        <v>1728</v>
      </c>
      <c r="M28" s="81" t="n">
        <v>1260</v>
      </c>
      <c r="N28" s="81" t="n">
        <v>2160</v>
      </c>
      <c r="O28" s="81" t="n">
        <v>1320</v>
      </c>
      <c r="P28" s="81" t="n">
        <v>2080</v>
      </c>
      <c r="Q28" s="82" t="n">
        <v>1560</v>
      </c>
      <c r="R28" s="82" t="n">
        <v>2480</v>
      </c>
      <c r="S28" s="83" t="n">
        <v>1171.5</v>
      </c>
      <c r="T28" s="78" t="inlineStr">
        <is>
          <t>-</t>
        </is>
      </c>
      <c r="U28" s="78" t="inlineStr">
        <is>
          <t>-</t>
        </is>
      </c>
      <c r="V28" s="123" t="n">
        <v>8570</v>
      </c>
      <c r="W28" s="123" t="n">
        <v>34.56</v>
      </c>
      <c r="X28" s="123" t="n">
        <v>766.65</v>
      </c>
      <c r="Y28" s="133" t="inlineStr">
        <is>
          <t>—</t>
        </is>
      </c>
      <c r="Z28" s="123" t="n">
        <v>2500</v>
      </c>
      <c r="AA28" s="124">
        <f>MIN(V28:Z28)</f>
        <v/>
      </c>
      <c r="AB28" s="125">
        <f>MEDIAN(V28:Z28)</f>
        <v/>
      </c>
      <c r="AC28" s="126">
        <f>MAX(V28:Z28)</f>
        <v/>
      </c>
      <c r="AD28" s="127">
        <f>IFERROR((AC28-AA28)/AB28,"—")</f>
        <v/>
      </c>
      <c r="AE28" s="128">
        <f>AVERAGE(G28,H28)</f>
        <v/>
      </c>
      <c r="AF28" s="129" t="inlineStr">
        <is>
          <t>OK — sources align</t>
        </is>
      </c>
      <c r="AG28" s="130" t="inlineStr">
        <is>
          <t>keyword-matched</t>
        </is>
      </c>
      <c r="AH28" s="127">
        <f>IFERROR((AB28-AE28)/AE28,"—")</f>
        <v/>
      </c>
      <c r="AI28" s="127">
        <f>IFERROR((S28-AE28)/AE28,"—")</f>
        <v/>
      </c>
      <c r="AJ28" s="131">
        <f>IF(AD28&gt;1, "⚠ HIGH SPREAD", IF(ABS(AH28)&gt;0.5, "⚠ DELTA", "OK"))</f>
        <v/>
      </c>
    </row>
    <row r="29" ht="27.75" customHeight="1" s="56">
      <c r="A29" s="78" t="n"/>
      <c r="B29" s="78" t="inlineStr">
        <is>
          <t>C-20-008</t>
        </is>
      </c>
      <c r="C29" s="59" t="inlineStr">
        <is>
          <t>Silt fence heavy duty - supply+install</t>
        </is>
      </c>
      <c r="D29" s="78" t="inlineStr">
        <is>
          <t>m</t>
        </is>
      </c>
      <c r="E29" s="79" t="n">
        <v>17</v>
      </c>
      <c r="F29" s="79" t="n">
        <v>29</v>
      </c>
      <c r="G29" s="79" t="n">
        <v>16</v>
      </c>
      <c r="H29" s="79" t="n">
        <v>29</v>
      </c>
      <c r="I29" s="80" t="n">
        <v>18</v>
      </c>
      <c r="J29" s="80" t="n">
        <v>33</v>
      </c>
      <c r="K29" s="80" t="n">
        <v>18</v>
      </c>
      <c r="L29" s="80" t="n">
        <v>30</v>
      </c>
      <c r="M29" s="81" t="n">
        <v>19</v>
      </c>
      <c r="N29" s="81" t="n">
        <v>38</v>
      </c>
      <c r="O29" s="81" t="n">
        <v>20</v>
      </c>
      <c r="P29" s="81" t="n">
        <v>36</v>
      </c>
      <c r="Q29" s="82" t="n">
        <v>23</v>
      </c>
      <c r="R29" s="82" t="n">
        <v>43</v>
      </c>
      <c r="S29" s="83" t="n">
        <v>50</v>
      </c>
      <c r="T29" s="83" t="n">
        <v>15.16</v>
      </c>
      <c r="U29" s="78" t="inlineStr">
        <is>
          <t>-</t>
        </is>
      </c>
      <c r="V29" s="123" t="n">
        <v>22.7</v>
      </c>
      <c r="W29" s="123" t="n">
        <v>34.56</v>
      </c>
      <c r="X29" s="123" t="n">
        <v>23.4</v>
      </c>
      <c r="Y29" s="123" t="n">
        <v>10.59</v>
      </c>
      <c r="Z29" s="123" t="n">
        <v>12</v>
      </c>
      <c r="AA29" s="124">
        <f>MIN(V29:Z29)</f>
        <v/>
      </c>
      <c r="AB29" s="125">
        <f>MEDIAN(V29:Z29)</f>
        <v/>
      </c>
      <c r="AC29" s="126">
        <f>MAX(V29:Z29)</f>
        <v/>
      </c>
      <c r="AD29" s="127">
        <f>IFERROR((AC29-AA29)/AB29,"—")</f>
        <v/>
      </c>
      <c r="AE29" s="128">
        <f>AVERAGE(G29,H29)</f>
        <v/>
      </c>
      <c r="AF29" s="129" t="inlineStr">
        <is>
          <t>OK — sources align</t>
        </is>
      </c>
      <c r="AG29" s="130" t="inlineStr">
        <is>
          <t>keyword-matched</t>
        </is>
      </c>
      <c r="AH29" s="127">
        <f>IFERROR((AB29-AE29)/AE29,"—")</f>
        <v/>
      </c>
      <c r="AI29" s="127">
        <f>IFERROR((S29-AE29)/AE29,"—")</f>
        <v/>
      </c>
      <c r="AJ29" s="131">
        <f>IF(AD29&gt;1, "⚠ HIGH SPREAD", IF(ABS(AH29)&gt;0.5, "⚠ DELTA", "OK"))</f>
        <v/>
      </c>
    </row>
    <row r="30" ht="27.75" customHeight="1" s="56">
      <c r="A30" s="78" t="n"/>
      <c r="B30" s="78" t="inlineStr">
        <is>
          <t>C-20-009</t>
        </is>
      </c>
      <c r="C30" s="59" t="inlineStr">
        <is>
          <t>Straw bale flow check dam - supply+install</t>
        </is>
      </c>
      <c r="D30" s="78" t="inlineStr">
        <is>
          <t>m</t>
        </is>
      </c>
      <c r="E30" s="79" t="n">
        <v>20</v>
      </c>
      <c r="F30" s="79" t="n">
        <v>34</v>
      </c>
      <c r="G30" s="79" t="n">
        <v>19</v>
      </c>
      <c r="H30" s="79" t="n">
        <v>33</v>
      </c>
      <c r="I30" s="80" t="n">
        <v>22</v>
      </c>
      <c r="J30" s="80" t="n">
        <v>38</v>
      </c>
      <c r="K30" s="80" t="n">
        <v>22</v>
      </c>
      <c r="L30" s="80" t="n">
        <v>35</v>
      </c>
      <c r="M30" s="81" t="n">
        <v>23</v>
      </c>
      <c r="N30" s="81" t="n">
        <v>43</v>
      </c>
      <c r="O30" s="81" t="n">
        <v>24</v>
      </c>
      <c r="P30" s="81" t="n">
        <v>42</v>
      </c>
      <c r="Q30" s="82" t="n">
        <v>29</v>
      </c>
      <c r="R30" s="82" t="n">
        <v>50</v>
      </c>
      <c r="S30" s="83" t="n">
        <v>24.5344</v>
      </c>
      <c r="T30" s="78" t="inlineStr">
        <is>
          <t>-</t>
        </is>
      </c>
      <c r="U30" s="78" t="inlineStr">
        <is>
          <t>-</t>
        </is>
      </c>
      <c r="V30" s="123" t="n">
        <v>30.75</v>
      </c>
      <c r="W30" s="123" t="n">
        <v>27.64</v>
      </c>
      <c r="X30" s="123" t="n">
        <v>27.43</v>
      </c>
      <c r="Y30" s="123" t="n">
        <v>10.59</v>
      </c>
      <c r="Z30" s="123" t="n">
        <v>40</v>
      </c>
      <c r="AA30" s="124">
        <f>MIN(V30:Z30)</f>
        <v/>
      </c>
      <c r="AB30" s="125">
        <f>MEDIAN(V30:Z30)</f>
        <v/>
      </c>
      <c r="AC30" s="126">
        <f>MAX(V30:Z30)</f>
        <v/>
      </c>
      <c r="AD30" s="127">
        <f>IFERROR((AC30-AA30)/AB30,"—")</f>
        <v/>
      </c>
      <c r="AE30" s="128">
        <f>AVERAGE(G30,H30)</f>
        <v/>
      </c>
      <c r="AF30" s="129" t="inlineStr">
        <is>
          <t>OK — sources align</t>
        </is>
      </c>
      <c r="AG30" s="130" t="inlineStr">
        <is>
          <t>keyword-matched</t>
        </is>
      </c>
      <c r="AH30" s="127">
        <f>IFERROR((AB30-AE30)/AE30,"—")</f>
        <v/>
      </c>
      <c r="AI30" s="127">
        <f>IFERROR((S30-AE30)/AE30,"—")</f>
        <v/>
      </c>
      <c r="AJ30" s="131">
        <f>IF(AD30&gt;1, "⚠ HIGH SPREAD", IF(ABS(AH30)&gt;0.5, "⚠ DELTA", "OK"))</f>
        <v/>
      </c>
    </row>
    <row r="31" ht="27.75" customHeight="1" s="56">
      <c r="A31" s="78" t="n"/>
      <c r="B31" s="78" t="inlineStr">
        <is>
          <t>C-20-011</t>
        </is>
      </c>
      <c r="C31" s="59" t="inlineStr">
        <is>
          <t>Temp pump diesel submersible 8-wk rental</t>
        </is>
      </c>
      <c r="D31" s="78" t="inlineStr">
        <is>
          <t>ea</t>
        </is>
      </c>
      <c r="E31" s="79" t="n">
        <v>6900</v>
      </c>
      <c r="F31" s="79" t="n">
        <v>9975</v>
      </c>
      <c r="G31" s="79" t="n">
        <v>6600</v>
      </c>
      <c r="H31" s="79" t="n">
        <v>9690</v>
      </c>
      <c r="I31" s="80" t="n">
        <v>7650</v>
      </c>
      <c r="J31" s="80" t="n">
        <v>11210</v>
      </c>
      <c r="K31" s="80" t="n">
        <v>7500</v>
      </c>
      <c r="L31" s="80" t="n">
        <v>10260</v>
      </c>
      <c r="M31" s="81" t="n">
        <v>7875</v>
      </c>
      <c r="N31" s="81" t="n">
        <v>12825</v>
      </c>
      <c r="O31" s="81" t="n">
        <v>8250</v>
      </c>
      <c r="P31" s="81" t="n">
        <v>12350</v>
      </c>
      <c r="Q31" s="82" t="n">
        <v>9750</v>
      </c>
      <c r="R31" s="82" t="n">
        <v>14725</v>
      </c>
      <c r="S31" s="83" t="n">
        <v>70612.5460981464</v>
      </c>
      <c r="T31" s="78" t="inlineStr">
        <is>
          <t>-</t>
        </is>
      </c>
      <c r="U31" s="78" t="inlineStr">
        <is>
          <t>-</t>
        </is>
      </c>
      <c r="V31" s="123" t="n">
        <v>174300</v>
      </c>
      <c r="W31" s="132" t="inlineStr">
        <is>
          <t>—</t>
        </is>
      </c>
      <c r="X31" s="132" t="inlineStr">
        <is>
          <t>—</t>
        </is>
      </c>
      <c r="Y31" s="133" t="inlineStr">
        <is>
          <t>—</t>
        </is>
      </c>
      <c r="Z31" s="132" t="inlineStr">
        <is>
          <t>—</t>
        </is>
      </c>
      <c r="AA31" s="134" t="inlineStr">
        <is>
          <t>—</t>
        </is>
      </c>
      <c r="AB31" s="125">
        <f>MEDIAN(V31:Z31)</f>
        <v/>
      </c>
      <c r="AC31" s="132" t="inlineStr">
        <is>
          <t>—</t>
        </is>
      </c>
      <c r="AD31" s="132" t="inlineStr">
        <is>
          <t>—</t>
        </is>
      </c>
      <c r="AE31" s="128">
        <f>AVERAGE(G31,H31)</f>
        <v/>
      </c>
      <c r="AF31" s="129" t="inlineStr">
        <is>
          <t>Only 1/5 bidders priced — limited market signal</t>
        </is>
      </c>
      <c r="AG31" s="130" t="inlineStr">
        <is>
          <t>category-fallback</t>
        </is>
      </c>
      <c r="AH31" s="127">
        <f>IFERROR((AB31-AE31)/AE31,"—")</f>
        <v/>
      </c>
      <c r="AI31" s="127">
        <f>IFERROR((S31-AE31)/AE31,"—")</f>
        <v/>
      </c>
      <c r="AJ31" s="131" t="inlineStr">
        <is>
          <t>—</t>
        </is>
      </c>
    </row>
    <row r="32" ht="19.5" customHeight="1" s="56">
      <c r="A32" s="77" t="inlineStr">
        <is>
          <t>C. Roads/Pads</t>
        </is>
      </c>
    </row>
    <row r="33" ht="27.75" customHeight="1" s="56">
      <c r="A33" s="78" t="n"/>
      <c r="B33" s="78" t="inlineStr">
        <is>
          <t>C-30-005</t>
        </is>
      </c>
      <c r="C33" s="59" t="inlineStr">
        <is>
          <t>Asphalt paving 50mm HL3 surface course</t>
        </is>
      </c>
      <c r="D33" s="78" t="inlineStr">
        <is>
          <t>m2</t>
        </is>
      </c>
      <c r="E33" s="79" t="n">
        <v>41</v>
      </c>
      <c r="F33" s="79" t="n">
        <v>65</v>
      </c>
      <c r="G33" s="79" t="n">
        <v>40</v>
      </c>
      <c r="H33" s="79" t="n">
        <v>63</v>
      </c>
      <c r="I33" s="80" t="n">
        <v>46</v>
      </c>
      <c r="J33" s="80" t="n">
        <v>73</v>
      </c>
      <c r="K33" s="80" t="n">
        <v>45</v>
      </c>
      <c r="L33" s="80" t="n">
        <v>67</v>
      </c>
      <c r="M33" s="81" t="n">
        <v>47</v>
      </c>
      <c r="N33" s="81" t="n">
        <v>84</v>
      </c>
      <c r="O33" s="81" t="n">
        <v>50</v>
      </c>
      <c r="P33" s="81" t="n">
        <v>81</v>
      </c>
      <c r="Q33" s="82" t="n">
        <v>58</v>
      </c>
      <c r="R33" s="82" t="n">
        <v>96</v>
      </c>
      <c r="S33" s="78" t="inlineStr">
        <is>
          <t>-</t>
        </is>
      </c>
      <c r="T33" s="78" t="inlineStr">
        <is>
          <t>-</t>
        </is>
      </c>
      <c r="U33" s="78" t="inlineStr">
        <is>
          <t>-</t>
        </is>
      </c>
      <c r="V33" s="123" t="n">
        <v>30.6</v>
      </c>
      <c r="W33" s="123" t="n">
        <v>36.27</v>
      </c>
      <c r="X33" s="123" t="n">
        <v>19.18</v>
      </c>
      <c r="Y33" s="123" t="n">
        <v>2.3</v>
      </c>
      <c r="Z33" s="123" t="n">
        <v>20</v>
      </c>
      <c r="AA33" s="124">
        <f>MIN(V33:Z33)</f>
        <v/>
      </c>
      <c r="AB33" s="125">
        <f>MEDIAN(V33:Z33)</f>
        <v/>
      </c>
      <c r="AC33" s="126">
        <f>MAX(V33:Z33)</f>
        <v/>
      </c>
      <c r="AD33" s="127">
        <f>IFERROR((AC33-AA33)/AB33,"—")</f>
        <v/>
      </c>
      <c r="AE33" s="128">
        <f>AVERAGE(G33,H33)</f>
        <v/>
      </c>
      <c r="AF33" s="129" t="inlineStr">
        <is>
          <t>OK — sources align</t>
        </is>
      </c>
      <c r="AG33" s="130" t="inlineStr">
        <is>
          <t>category-fallback</t>
        </is>
      </c>
      <c r="AH33" s="127">
        <f>IFERROR((AB33-AE33)/AE33,"—")</f>
        <v/>
      </c>
      <c r="AI33" s="127">
        <f>IFERROR((S33-AE33)/AE33,"—")</f>
        <v/>
      </c>
      <c r="AJ33" s="131">
        <f>IF(AD33&gt;1, "⚠ HIGH SPREAD", IF(ABS(AH33)&gt;0.5, "⚠ DELTA", "OK"))</f>
        <v/>
      </c>
    </row>
    <row r="34" ht="27.75" customHeight="1" s="56">
      <c r="A34" s="78" t="n"/>
      <c r="B34" s="78" t="inlineStr">
        <is>
          <t>C-30-007</t>
        </is>
      </c>
      <c r="C34" s="59" t="inlineStr">
        <is>
          <t>Equipment pad concrete 300mm slab on grade</t>
        </is>
      </c>
      <c r="D34" s="78" t="inlineStr">
        <is>
          <t>m2</t>
        </is>
      </c>
      <c r="E34" s="79" t="n">
        <v>170</v>
      </c>
      <c r="F34" s="79" t="n">
        <v>278</v>
      </c>
      <c r="G34" s="79" t="n">
        <v>163</v>
      </c>
      <c r="H34" s="79" t="n">
        <v>270</v>
      </c>
      <c r="I34" s="80" t="n">
        <v>189</v>
      </c>
      <c r="J34" s="80" t="n">
        <v>313</v>
      </c>
      <c r="K34" s="80" t="n">
        <v>185</v>
      </c>
      <c r="L34" s="80" t="n">
        <v>286</v>
      </c>
      <c r="M34" s="81" t="n">
        <v>194</v>
      </c>
      <c r="N34" s="81" t="n">
        <v>358</v>
      </c>
      <c r="O34" s="81" t="n">
        <v>204</v>
      </c>
      <c r="P34" s="81" t="n">
        <v>344</v>
      </c>
      <c r="Q34" s="82" t="n">
        <v>240</v>
      </c>
      <c r="R34" s="82" t="n">
        <v>411</v>
      </c>
      <c r="S34" s="83" t="n">
        <v>947.078439474456</v>
      </c>
      <c r="T34" s="78" t="inlineStr">
        <is>
          <t>-</t>
        </is>
      </c>
      <c r="U34" s="78" t="inlineStr">
        <is>
          <t>-</t>
        </is>
      </c>
      <c r="V34" s="135" t="inlineStr">
        <is>
          <t>—</t>
        </is>
      </c>
      <c r="W34" s="135" t="inlineStr">
        <is>
          <t>—</t>
        </is>
      </c>
      <c r="X34" s="135" t="inlineStr">
        <is>
          <t>—</t>
        </is>
      </c>
      <c r="Y34" s="133" t="inlineStr">
        <is>
          <t>—</t>
        </is>
      </c>
      <c r="Z34" s="132" t="inlineStr">
        <is>
          <t>—</t>
        </is>
      </c>
      <c r="AA34" s="134" t="inlineStr">
        <is>
          <t>—</t>
        </is>
      </c>
      <c r="AB34" s="134" t="inlineStr">
        <is>
          <t>—</t>
        </is>
      </c>
      <c r="AC34" s="132" t="inlineStr">
        <is>
          <t>—</t>
        </is>
      </c>
      <c r="AD34" s="132" t="inlineStr">
        <is>
          <t>—</t>
        </is>
      </c>
      <c r="AE34" s="128">
        <f>AVERAGE(G34,H34)</f>
        <v/>
      </c>
      <c r="AF34" s="129" t="inlineStr">
        <is>
          <t>No bidder data; SME only</t>
        </is>
      </c>
      <c r="AG34" s="130" t="inlineStr">
        <is>
          <t>no match</t>
        </is>
      </c>
      <c r="AH34" s="127">
        <f>IFERROR((AB34-AE34)/AE34,"—")</f>
        <v/>
      </c>
      <c r="AI34" s="127">
        <f>IFERROR((S34-AE34)/AE34,"—")</f>
        <v/>
      </c>
      <c r="AJ34" s="131" t="inlineStr">
        <is>
          <t>—</t>
        </is>
      </c>
    </row>
    <row r="35" ht="27.75" customHeight="1" s="56">
      <c r="A35" s="78" t="n"/>
      <c r="B35" s="78" t="inlineStr">
        <is>
          <t>C-30-006</t>
        </is>
      </c>
      <c r="C35" s="59" t="inlineStr">
        <is>
          <t>Equipment pad granular 600mm - heavy duty</t>
        </is>
      </c>
      <c r="D35" s="78" t="inlineStr">
        <is>
          <t>m2</t>
        </is>
      </c>
      <c r="E35" s="79" t="n">
        <v>46</v>
      </c>
      <c r="F35" s="79" t="n">
        <v>74</v>
      </c>
      <c r="G35" s="79" t="n">
        <v>44</v>
      </c>
      <c r="H35" s="79" t="n">
        <v>71</v>
      </c>
      <c r="I35" s="80" t="n">
        <v>51</v>
      </c>
      <c r="J35" s="80" t="n">
        <v>83</v>
      </c>
      <c r="K35" s="80" t="n">
        <v>50</v>
      </c>
      <c r="L35" s="80" t="n">
        <v>76</v>
      </c>
      <c r="M35" s="81" t="n">
        <v>52</v>
      </c>
      <c r="N35" s="81" t="n">
        <v>94</v>
      </c>
      <c r="O35" s="81" t="n">
        <v>55</v>
      </c>
      <c r="P35" s="81" t="n">
        <v>91</v>
      </c>
      <c r="Q35" s="82" t="n">
        <v>65</v>
      </c>
      <c r="R35" s="82" t="n">
        <v>108</v>
      </c>
      <c r="S35" s="83" t="n">
        <v>50</v>
      </c>
      <c r="T35" s="78" t="inlineStr">
        <is>
          <t>-</t>
        </is>
      </c>
      <c r="U35" s="78" t="inlineStr">
        <is>
          <t>-</t>
        </is>
      </c>
      <c r="V35" s="132" t="inlineStr">
        <is>
          <t>—</t>
        </is>
      </c>
      <c r="W35" s="132" t="inlineStr">
        <is>
          <t>—</t>
        </is>
      </c>
      <c r="X35" s="132" t="inlineStr">
        <is>
          <t>—</t>
        </is>
      </c>
      <c r="Y35" s="133" t="inlineStr">
        <is>
          <t>—</t>
        </is>
      </c>
      <c r="Z35" s="132" t="inlineStr">
        <is>
          <t>—</t>
        </is>
      </c>
      <c r="AA35" s="134" t="inlineStr">
        <is>
          <t>—</t>
        </is>
      </c>
      <c r="AB35" s="134" t="inlineStr">
        <is>
          <t>—</t>
        </is>
      </c>
      <c r="AC35" s="132" t="inlineStr">
        <is>
          <t>—</t>
        </is>
      </c>
      <c r="AD35" s="132" t="inlineStr">
        <is>
          <t>—</t>
        </is>
      </c>
      <c r="AE35" s="128">
        <f>AVERAGE(G35,H35)</f>
        <v/>
      </c>
      <c r="AF35" s="129" t="inlineStr">
        <is>
          <t>No bidder data; SME only</t>
        </is>
      </c>
      <c r="AG35" s="130" t="inlineStr">
        <is>
          <t>no match</t>
        </is>
      </c>
      <c r="AH35" s="127">
        <f>IFERROR((AB35-AE35)/AE35,"—")</f>
        <v/>
      </c>
      <c r="AI35" s="127">
        <f>IFERROR((S35-AE35)/AE35,"—")</f>
        <v/>
      </c>
      <c r="AJ35" s="131" t="inlineStr">
        <is>
          <t>—</t>
        </is>
      </c>
    </row>
    <row r="36" ht="27.75" customHeight="1" s="56">
      <c r="A36" s="78" t="n"/>
      <c r="B36" s="78" t="inlineStr">
        <is>
          <t>C-30-008</t>
        </is>
      </c>
      <c r="C36" s="59" t="inlineStr">
        <is>
          <t>Geotextile separation under road base - S+I</t>
        </is>
      </c>
      <c r="D36" s="78" t="inlineStr">
        <is>
          <t>m2</t>
        </is>
      </c>
      <c r="E36" s="79" t="n">
        <v>3</v>
      </c>
      <c r="F36" s="79" t="n">
        <v>5</v>
      </c>
      <c r="G36" s="79" t="n">
        <v>3</v>
      </c>
      <c r="H36" s="79" t="n">
        <v>5</v>
      </c>
      <c r="I36" s="80" t="n">
        <v>3</v>
      </c>
      <c r="J36" s="80" t="n">
        <v>6</v>
      </c>
      <c r="K36" s="80" t="n">
        <v>3</v>
      </c>
      <c r="L36" s="80" t="n">
        <v>5</v>
      </c>
      <c r="M36" s="81" t="n">
        <v>3</v>
      </c>
      <c r="N36" s="81" t="n">
        <v>7</v>
      </c>
      <c r="O36" s="81" t="n">
        <v>3</v>
      </c>
      <c r="P36" s="81" t="n">
        <v>6</v>
      </c>
      <c r="Q36" s="82" t="n">
        <v>4</v>
      </c>
      <c r="R36" s="82" t="n">
        <v>8</v>
      </c>
      <c r="S36" s="78" t="inlineStr">
        <is>
          <t>-</t>
        </is>
      </c>
      <c r="T36" s="78" t="inlineStr">
        <is>
          <t>-</t>
        </is>
      </c>
      <c r="U36" s="78" t="inlineStr">
        <is>
          <t>-</t>
        </is>
      </c>
      <c r="V36" s="123" t="n">
        <v>4.9</v>
      </c>
      <c r="W36" s="123" t="n">
        <v>5.68</v>
      </c>
      <c r="X36" s="123" t="n">
        <v>10.86</v>
      </c>
      <c r="Y36" s="123" t="n">
        <v>1.4</v>
      </c>
      <c r="Z36" s="123" t="n">
        <v>5</v>
      </c>
      <c r="AA36" s="124">
        <f>MIN(V36:Z36)</f>
        <v/>
      </c>
      <c r="AB36" s="125">
        <f>MEDIAN(V36:Z36)</f>
        <v/>
      </c>
      <c r="AC36" s="126">
        <f>MAX(V36:Z36)</f>
        <v/>
      </c>
      <c r="AD36" s="127">
        <f>IFERROR((AC36-AA36)/AB36,"—")</f>
        <v/>
      </c>
      <c r="AE36" s="128">
        <f>AVERAGE(G36,H36)</f>
        <v/>
      </c>
      <c r="AF36" s="129" t="inlineStr">
        <is>
          <t>OK — sources align</t>
        </is>
      </c>
      <c r="AG36" s="130" t="inlineStr">
        <is>
          <t>keyword-matched</t>
        </is>
      </c>
      <c r="AH36" s="127">
        <f>IFERROR((AB36-AE36)/AE36,"—")</f>
        <v/>
      </c>
      <c r="AI36" s="127">
        <f>IFERROR((S36-AE36)/AE36,"—")</f>
        <v/>
      </c>
      <c r="AJ36" s="131">
        <f>IF(AD36&gt;1, "⚠ HIGH SPREAD", IF(ABS(AH36)&gt;0.5, "⚠ DELTA", "OK"))</f>
        <v/>
      </c>
    </row>
    <row r="37" ht="27.75" customHeight="1" s="56">
      <c r="A37" s="78" t="n"/>
      <c r="B37" s="78" t="inlineStr">
        <is>
          <t>C-30-003</t>
        </is>
      </c>
      <c r="C37" s="59" t="inlineStr">
        <is>
          <t>Granular sub-base 300mm - supply+place+compact</t>
        </is>
      </c>
      <c r="D37" s="78" t="inlineStr">
        <is>
          <t>m2</t>
        </is>
      </c>
      <c r="E37" s="79" t="n">
        <v>29</v>
      </c>
      <c r="F37" s="79" t="n">
        <v>47</v>
      </c>
      <c r="G37" s="79" t="n">
        <v>28</v>
      </c>
      <c r="H37" s="79" t="n">
        <v>46</v>
      </c>
      <c r="I37" s="80" t="n">
        <v>33</v>
      </c>
      <c r="J37" s="80" t="n">
        <v>53</v>
      </c>
      <c r="K37" s="80" t="n">
        <v>32</v>
      </c>
      <c r="L37" s="80" t="n">
        <v>49</v>
      </c>
      <c r="M37" s="81" t="n">
        <v>34</v>
      </c>
      <c r="N37" s="81" t="n">
        <v>61</v>
      </c>
      <c r="O37" s="81" t="n">
        <v>35</v>
      </c>
      <c r="P37" s="81" t="n">
        <v>58</v>
      </c>
      <c r="Q37" s="82" t="n">
        <v>42</v>
      </c>
      <c r="R37" s="82" t="n">
        <v>70</v>
      </c>
      <c r="S37" s="83" t="n">
        <v>50</v>
      </c>
      <c r="T37" s="78" t="inlineStr">
        <is>
          <t>-</t>
        </is>
      </c>
      <c r="U37" s="78" t="inlineStr">
        <is>
          <t>-</t>
        </is>
      </c>
      <c r="V37" s="123" t="n">
        <v>30.6</v>
      </c>
      <c r="W37" s="123" t="n">
        <v>36.27</v>
      </c>
      <c r="X37" s="123" t="n">
        <v>19.18</v>
      </c>
      <c r="Y37" s="133" t="inlineStr">
        <is>
          <t>—</t>
        </is>
      </c>
      <c r="Z37" s="123" t="n">
        <v>75</v>
      </c>
      <c r="AA37" s="124">
        <f>MIN(V37:Z37)</f>
        <v/>
      </c>
      <c r="AB37" s="125">
        <f>MEDIAN(V37:Z37)</f>
        <v/>
      </c>
      <c r="AC37" s="126">
        <f>MAX(V37:Z37)</f>
        <v/>
      </c>
      <c r="AD37" s="127">
        <f>IFERROR((AC37-AA37)/AB37,"—")</f>
        <v/>
      </c>
      <c r="AE37" s="128">
        <f>AVERAGE(G37,H37)</f>
        <v/>
      </c>
      <c r="AF37" s="129" t="inlineStr">
        <is>
          <t>OK — sources align</t>
        </is>
      </c>
      <c r="AG37" s="130" t="inlineStr">
        <is>
          <t>category-fallback</t>
        </is>
      </c>
      <c r="AH37" s="127">
        <f>IFERROR((AB37-AE37)/AE37,"—")</f>
        <v/>
      </c>
      <c r="AI37" s="127">
        <f>IFERROR((S37-AE37)/AE37,"—")</f>
        <v/>
      </c>
      <c r="AJ37" s="131">
        <f>IF(AD37&gt;1, "⚠ HIGH SPREAD", IF(ABS(AH37)&gt;0.5, "⚠ DELTA", "OK"))</f>
        <v/>
      </c>
    </row>
    <row r="38" ht="27.75" customHeight="1" s="56">
      <c r="A38" s="78" t="n"/>
      <c r="B38" s="78" t="inlineStr">
        <is>
          <t>C-30-004</t>
        </is>
      </c>
      <c r="C38" s="59" t="inlineStr">
        <is>
          <t>Granular surface course 150mm - supply+place</t>
        </is>
      </c>
      <c r="D38" s="78" t="inlineStr">
        <is>
          <t>m2</t>
        </is>
      </c>
      <c r="E38" s="79" t="n">
        <v>20</v>
      </c>
      <c r="F38" s="79" t="n">
        <v>34</v>
      </c>
      <c r="G38" s="79" t="n">
        <v>19</v>
      </c>
      <c r="H38" s="79" t="n">
        <v>33</v>
      </c>
      <c r="I38" s="80" t="n">
        <v>22</v>
      </c>
      <c r="J38" s="80" t="n">
        <v>38</v>
      </c>
      <c r="K38" s="80" t="n">
        <v>22</v>
      </c>
      <c r="L38" s="80" t="n">
        <v>35</v>
      </c>
      <c r="M38" s="81" t="n">
        <v>23</v>
      </c>
      <c r="N38" s="81" t="n">
        <v>43</v>
      </c>
      <c r="O38" s="81" t="n">
        <v>24</v>
      </c>
      <c r="P38" s="81" t="n">
        <v>42</v>
      </c>
      <c r="Q38" s="82" t="n">
        <v>29</v>
      </c>
      <c r="R38" s="82" t="n">
        <v>50</v>
      </c>
      <c r="S38" s="83" t="n">
        <v>1000</v>
      </c>
      <c r="T38" s="78" t="inlineStr">
        <is>
          <t>-</t>
        </is>
      </c>
      <c r="U38" s="78" t="inlineStr">
        <is>
          <t>-</t>
        </is>
      </c>
      <c r="V38" s="123" t="n">
        <v>30.6</v>
      </c>
      <c r="W38" s="123" t="n">
        <v>36.27</v>
      </c>
      <c r="X38" s="123" t="n">
        <v>19.18</v>
      </c>
      <c r="Y38" s="123" t="n">
        <v>2.3</v>
      </c>
      <c r="Z38" s="123" t="n">
        <v>75</v>
      </c>
      <c r="AA38" s="124">
        <f>MIN(V38:Z38)</f>
        <v/>
      </c>
      <c r="AB38" s="125">
        <f>MEDIAN(V38:Z38)</f>
        <v/>
      </c>
      <c r="AC38" s="126">
        <f>MAX(V38:Z38)</f>
        <v/>
      </c>
      <c r="AD38" s="127">
        <f>IFERROR((AC38-AA38)/AB38,"—")</f>
        <v/>
      </c>
      <c r="AE38" s="128">
        <f>AVERAGE(G38,H38)</f>
        <v/>
      </c>
      <c r="AF38" s="129" t="inlineStr">
        <is>
          <t>OK — sources align</t>
        </is>
      </c>
      <c r="AG38" s="130" t="inlineStr">
        <is>
          <t>category-fallback</t>
        </is>
      </c>
      <c r="AH38" s="127">
        <f>IFERROR((AB38-AE38)/AE38,"—")</f>
        <v/>
      </c>
      <c r="AI38" s="127">
        <f>IFERROR((S38-AE38)/AE38,"—")</f>
        <v/>
      </c>
      <c r="AJ38" s="131">
        <f>IF(AD38&gt;1, "⚠ HIGH SPREAD", IF(ABS(AH38)&gt;0.5, "⚠ DELTA", "OK"))</f>
        <v/>
      </c>
    </row>
    <row r="39" ht="27.75" customHeight="1" s="56">
      <c r="A39" s="78" t="n"/>
      <c r="B39" s="78" t="inlineStr">
        <is>
          <t>C-30-002</t>
        </is>
      </c>
      <c r="C39" s="59" t="inlineStr">
        <is>
          <t>Haul road - sub-grade preparation only</t>
        </is>
      </c>
      <c r="D39" s="78" t="inlineStr">
        <is>
          <t>m2</t>
        </is>
      </c>
      <c r="E39" s="79" t="n">
        <v>13</v>
      </c>
      <c r="F39" s="79" t="n">
        <v>23</v>
      </c>
      <c r="G39" s="79" t="n">
        <v>12</v>
      </c>
      <c r="H39" s="79" t="n">
        <v>22</v>
      </c>
      <c r="I39" s="80" t="n">
        <v>14</v>
      </c>
      <c r="J39" s="80" t="n">
        <v>26</v>
      </c>
      <c r="K39" s="80" t="n">
        <v>14</v>
      </c>
      <c r="L39" s="80" t="n">
        <v>24</v>
      </c>
      <c r="M39" s="81" t="n">
        <v>15</v>
      </c>
      <c r="N39" s="81" t="n">
        <v>30</v>
      </c>
      <c r="O39" s="81" t="n">
        <v>15</v>
      </c>
      <c r="P39" s="81" t="n">
        <v>29</v>
      </c>
      <c r="Q39" s="82" t="n">
        <v>18</v>
      </c>
      <c r="R39" s="82" t="n">
        <v>34</v>
      </c>
      <c r="S39" s="83" t="n">
        <v>26</v>
      </c>
      <c r="T39" s="78" t="inlineStr">
        <is>
          <t>-</t>
        </is>
      </c>
      <c r="U39" s="78" t="inlineStr">
        <is>
          <t>-</t>
        </is>
      </c>
      <c r="V39" s="123" t="n">
        <v>8.42</v>
      </c>
      <c r="W39" s="123" t="n">
        <v>7.89</v>
      </c>
      <c r="X39" s="123" t="n">
        <v>10.86</v>
      </c>
      <c r="Y39" s="123" t="n">
        <v>1.4</v>
      </c>
      <c r="Z39" s="123" t="n">
        <v>8.5</v>
      </c>
      <c r="AA39" s="124">
        <f>MIN(V39:Z39)</f>
        <v/>
      </c>
      <c r="AB39" s="125">
        <f>MEDIAN(V39:Z39)</f>
        <v/>
      </c>
      <c r="AC39" s="126">
        <f>MAX(V39:Z39)</f>
        <v/>
      </c>
      <c r="AD39" s="127">
        <f>IFERROR((AC39-AA39)/AB39,"—")</f>
        <v/>
      </c>
      <c r="AE39" s="128">
        <f>AVERAGE(G39,H39)</f>
        <v/>
      </c>
      <c r="AF39" s="129" t="inlineStr">
        <is>
          <t>OK — sources align</t>
        </is>
      </c>
      <c r="AG39" s="130" t="inlineStr">
        <is>
          <t>keyword-matched</t>
        </is>
      </c>
      <c r="AH39" s="127">
        <f>IFERROR((AB39-AE39)/AE39,"—")</f>
        <v/>
      </c>
      <c r="AI39" s="127">
        <f>IFERROR((S39-AE39)/AE39,"—")</f>
        <v/>
      </c>
      <c r="AJ39" s="131">
        <f>IF(AD39&gt;1, "⚠ HIGH SPREAD", IF(ABS(AH39)&gt;0.5, "⚠ DELTA", "OK"))</f>
        <v/>
      </c>
    </row>
    <row r="40" ht="27.75" customHeight="1" s="56">
      <c r="A40" s="78" t="n"/>
      <c r="B40" s="78" t="inlineStr">
        <is>
          <t>C-30-009</t>
        </is>
      </c>
      <c r="C40" s="59" t="inlineStr">
        <is>
          <t>Road crown and ditching - motor grader finish</t>
        </is>
      </c>
      <c r="D40" s="78" t="inlineStr">
        <is>
          <t>m</t>
        </is>
      </c>
      <c r="E40" s="79" t="n">
        <v>5</v>
      </c>
      <c r="F40" s="79" t="n">
        <v>10</v>
      </c>
      <c r="G40" s="79" t="n">
        <v>4</v>
      </c>
      <c r="H40" s="79" t="n">
        <v>10</v>
      </c>
      <c r="I40" s="80" t="n">
        <v>5</v>
      </c>
      <c r="J40" s="80" t="n">
        <v>12</v>
      </c>
      <c r="K40" s="80" t="n">
        <v>5</v>
      </c>
      <c r="L40" s="80" t="n">
        <v>11</v>
      </c>
      <c r="M40" s="81" t="n">
        <v>5</v>
      </c>
      <c r="N40" s="81" t="n">
        <v>14</v>
      </c>
      <c r="O40" s="81" t="n">
        <v>6</v>
      </c>
      <c r="P40" s="81" t="n">
        <v>13</v>
      </c>
      <c r="Q40" s="82" t="n">
        <v>6</v>
      </c>
      <c r="R40" s="82" t="n">
        <v>16</v>
      </c>
      <c r="S40" s="78" t="inlineStr">
        <is>
          <t>-</t>
        </is>
      </c>
      <c r="T40" s="78" t="inlineStr">
        <is>
          <t>-</t>
        </is>
      </c>
      <c r="U40" s="78" t="inlineStr">
        <is>
          <t>-</t>
        </is>
      </c>
      <c r="V40" s="132" t="inlineStr">
        <is>
          <t>—</t>
        </is>
      </c>
      <c r="W40" s="132" t="inlineStr">
        <is>
          <t>—</t>
        </is>
      </c>
      <c r="X40" s="132" t="inlineStr">
        <is>
          <t>—</t>
        </is>
      </c>
      <c r="Y40" s="133" t="inlineStr">
        <is>
          <t>—</t>
        </is>
      </c>
      <c r="Z40" s="132" t="inlineStr">
        <is>
          <t>—</t>
        </is>
      </c>
      <c r="AA40" s="134" t="inlineStr">
        <is>
          <t>—</t>
        </is>
      </c>
      <c r="AB40" s="134" t="inlineStr">
        <is>
          <t>—</t>
        </is>
      </c>
      <c r="AC40" s="132" t="inlineStr">
        <is>
          <t>—</t>
        </is>
      </c>
      <c r="AD40" s="132" t="inlineStr">
        <is>
          <t>—</t>
        </is>
      </c>
      <c r="AE40" s="128">
        <f>AVERAGE(G40,H40)</f>
        <v/>
      </c>
      <c r="AF40" s="129" t="inlineStr">
        <is>
          <t>No bidder data; SME only</t>
        </is>
      </c>
      <c r="AG40" s="130" t="inlineStr">
        <is>
          <t>no match</t>
        </is>
      </c>
      <c r="AH40" s="127">
        <f>IFERROR((AB40-AE40)/AE40,"—")</f>
        <v/>
      </c>
      <c r="AI40" s="127">
        <f>IFERROR((S40-AE40)/AE40,"—")</f>
        <v/>
      </c>
      <c r="AJ40" s="131" t="inlineStr">
        <is>
          <t>—</t>
        </is>
      </c>
    </row>
    <row r="41" ht="19.5" customHeight="1" s="56">
      <c r="A41" s="77" t="inlineStr">
        <is>
          <t>D. WRSA/TMF</t>
        </is>
      </c>
    </row>
    <row r="42" ht="27.75" customHeight="1" s="56">
      <c r="A42" s="78" t="n"/>
      <c r="B42" s="78" t="inlineStr">
        <is>
          <t>C-40-006</t>
        </is>
      </c>
      <c r="C42" s="59" t="inlineStr">
        <is>
          <t>Filter zone drainage blanket 19mm - supply+place</t>
        </is>
      </c>
      <c r="D42" s="78" t="inlineStr">
        <is>
          <t>m3</t>
        </is>
      </c>
      <c r="E42" s="79" t="n">
        <v>110</v>
      </c>
      <c r="F42" s="79" t="n">
        <v>184</v>
      </c>
      <c r="G42" s="79" t="n">
        <v>106</v>
      </c>
      <c r="H42" s="79" t="n">
        <v>178</v>
      </c>
      <c r="I42" s="80" t="n">
        <v>122</v>
      </c>
      <c r="J42" s="80" t="n">
        <v>206</v>
      </c>
      <c r="K42" s="80" t="n">
        <v>120</v>
      </c>
      <c r="L42" s="80" t="n">
        <v>189</v>
      </c>
      <c r="M42" s="81" t="n">
        <v>126</v>
      </c>
      <c r="N42" s="81" t="n">
        <v>236</v>
      </c>
      <c r="O42" s="81" t="n">
        <v>132</v>
      </c>
      <c r="P42" s="81" t="n">
        <v>228</v>
      </c>
      <c r="Q42" s="82" t="n">
        <v>156</v>
      </c>
      <c r="R42" s="82" t="n">
        <v>271</v>
      </c>
      <c r="S42" s="83" t="n">
        <v>13</v>
      </c>
      <c r="T42" s="78" t="inlineStr">
        <is>
          <t>-</t>
        </is>
      </c>
      <c r="U42" s="78" t="inlineStr">
        <is>
          <t>-</t>
        </is>
      </c>
      <c r="V42" s="123" t="n">
        <v>41.25</v>
      </c>
      <c r="W42" s="123" t="n">
        <v>51.94</v>
      </c>
      <c r="X42" s="123" t="n">
        <v>11.42</v>
      </c>
      <c r="Y42" s="123" t="n">
        <v>12.44</v>
      </c>
      <c r="Z42" s="123" t="n">
        <v>32</v>
      </c>
      <c r="AA42" s="124">
        <f>MIN(V42:Z42)</f>
        <v/>
      </c>
      <c r="AB42" s="125">
        <f>MEDIAN(V42:Z42)</f>
        <v/>
      </c>
      <c r="AC42" s="126">
        <f>MAX(V42:Z42)</f>
        <v/>
      </c>
      <c r="AD42" s="127">
        <f>IFERROR((AC42-AA42)/AB42,"—")</f>
        <v/>
      </c>
      <c r="AE42" s="128">
        <f>AVERAGE(G42,H42)</f>
        <v/>
      </c>
      <c r="AF42" s="129" t="inlineStr">
        <is>
          <t>OK — sources align</t>
        </is>
      </c>
      <c r="AG42" s="130" t="inlineStr">
        <is>
          <t>keyword-matched</t>
        </is>
      </c>
      <c r="AH42" s="127">
        <f>IFERROR((AB42-AE42)/AE42,"—")</f>
        <v/>
      </c>
      <c r="AI42" s="127">
        <f>IFERROR((S42-AE42)/AE42,"—")</f>
        <v/>
      </c>
      <c r="AJ42" s="131">
        <f>IF(AD42&gt;1, "⚠ HIGH SPREAD", IF(ABS(AH42)&gt;0.5, "⚠ DELTA", "OK"))</f>
        <v/>
      </c>
    </row>
    <row r="43" ht="27.75" customHeight="1" s="56">
      <c r="A43" s="78" t="n"/>
      <c r="B43" s="78" t="inlineStr">
        <is>
          <t>C-40-007</t>
        </is>
      </c>
      <c r="C43" s="59" t="inlineStr">
        <is>
          <t>Geonet/geocomposite drainage layer - S+I</t>
        </is>
      </c>
      <c r="D43" s="78" t="inlineStr">
        <is>
          <t>m2</t>
        </is>
      </c>
      <c r="E43" s="79" t="n">
        <v>15</v>
      </c>
      <c r="F43" s="79" t="n">
        <v>25</v>
      </c>
      <c r="G43" s="79" t="n">
        <v>14</v>
      </c>
      <c r="H43" s="79" t="n">
        <v>24</v>
      </c>
      <c r="I43" s="80" t="n">
        <v>16</v>
      </c>
      <c r="J43" s="80" t="n">
        <v>28</v>
      </c>
      <c r="K43" s="80" t="n">
        <v>16</v>
      </c>
      <c r="L43" s="80" t="n">
        <v>26</v>
      </c>
      <c r="M43" s="81" t="n">
        <v>17</v>
      </c>
      <c r="N43" s="81" t="n">
        <v>32</v>
      </c>
      <c r="O43" s="81" t="n">
        <v>18</v>
      </c>
      <c r="P43" s="81" t="n">
        <v>31</v>
      </c>
      <c r="Q43" s="82" t="n">
        <v>21</v>
      </c>
      <c r="R43" s="82" t="n">
        <v>37</v>
      </c>
      <c r="S43" s="83" t="n">
        <v>13</v>
      </c>
      <c r="T43" s="78" t="inlineStr">
        <is>
          <t>-</t>
        </is>
      </c>
      <c r="U43" s="78" t="inlineStr">
        <is>
          <t>-</t>
        </is>
      </c>
      <c r="V43" s="123" t="n">
        <v>30.6</v>
      </c>
      <c r="W43" s="123" t="n">
        <v>10.11</v>
      </c>
      <c r="X43" s="123" t="n">
        <v>19.18</v>
      </c>
      <c r="Y43" s="123" t="n">
        <v>0.83</v>
      </c>
      <c r="Z43" s="123" t="n">
        <v>20</v>
      </c>
      <c r="AA43" s="124">
        <f>MIN(V43:Z43)</f>
        <v/>
      </c>
      <c r="AB43" s="125">
        <f>MEDIAN(V43:Z43)</f>
        <v/>
      </c>
      <c r="AC43" s="126">
        <f>MAX(V43:Z43)</f>
        <v/>
      </c>
      <c r="AD43" s="127">
        <f>IFERROR((AC43-AA43)/AB43,"—")</f>
        <v/>
      </c>
      <c r="AE43" s="128">
        <f>AVERAGE(G43,H43)</f>
        <v/>
      </c>
      <c r="AF43" s="129" t="inlineStr">
        <is>
          <t>OK — sources align</t>
        </is>
      </c>
      <c r="AG43" s="130" t="inlineStr">
        <is>
          <t>keyword-matched</t>
        </is>
      </c>
      <c r="AH43" s="127">
        <f>IFERROR((AB43-AE43)/AE43,"—")</f>
        <v/>
      </c>
      <c r="AI43" s="127">
        <f>IFERROR((S43-AE43)/AE43,"—")</f>
        <v/>
      </c>
      <c r="AJ43" s="131">
        <f>IF(AD43&gt;1, "⚠ HIGH SPREAD", IF(ABS(AH43)&gt;0.5, "⚠ DELTA", "OK"))</f>
        <v/>
      </c>
    </row>
    <row r="44" ht="27.75" customHeight="1" s="56">
      <c r="A44" s="78" t="n"/>
      <c r="B44" s="78" t="inlineStr">
        <is>
          <t>C-40-005</t>
        </is>
      </c>
      <c r="C44" s="59" t="inlineStr">
        <is>
          <t>HDPE 1.5mm liner - full S+I+CQA</t>
        </is>
      </c>
      <c r="D44" s="78" t="inlineStr">
        <is>
          <t>m2</t>
        </is>
      </c>
      <c r="E44" s="79" t="n">
        <v>20</v>
      </c>
      <c r="F44" s="79" t="n">
        <v>36</v>
      </c>
      <c r="G44" s="79" t="n">
        <v>19</v>
      </c>
      <c r="H44" s="79" t="n">
        <v>35</v>
      </c>
      <c r="I44" s="80" t="n">
        <v>22</v>
      </c>
      <c r="J44" s="80" t="n">
        <v>40</v>
      </c>
      <c r="K44" s="80" t="n">
        <v>22</v>
      </c>
      <c r="L44" s="80" t="n">
        <v>37</v>
      </c>
      <c r="M44" s="81" t="n">
        <v>23</v>
      </c>
      <c r="N44" s="81" t="n">
        <v>46</v>
      </c>
      <c r="O44" s="81" t="n">
        <v>24</v>
      </c>
      <c r="P44" s="81" t="n">
        <v>44</v>
      </c>
      <c r="Q44" s="82" t="n">
        <v>29</v>
      </c>
      <c r="R44" s="82" t="n">
        <v>53</v>
      </c>
      <c r="S44" s="83" t="n">
        <v>15</v>
      </c>
      <c r="T44" s="78" t="inlineStr">
        <is>
          <t>-</t>
        </is>
      </c>
      <c r="U44" s="78" t="inlineStr">
        <is>
          <t>-</t>
        </is>
      </c>
      <c r="V44" s="123" t="n">
        <v>30.6</v>
      </c>
      <c r="W44" s="123" t="n">
        <v>36.27</v>
      </c>
      <c r="X44" s="123" t="n">
        <v>19.18</v>
      </c>
      <c r="Y44" s="123" t="n">
        <v>2.3</v>
      </c>
      <c r="Z44" s="123" t="n">
        <v>20</v>
      </c>
      <c r="AA44" s="124">
        <f>MIN(V44:Z44)</f>
        <v/>
      </c>
      <c r="AB44" s="125">
        <f>MEDIAN(V44:Z44)</f>
        <v/>
      </c>
      <c r="AC44" s="126">
        <f>MAX(V44:Z44)</f>
        <v/>
      </c>
      <c r="AD44" s="127">
        <f>IFERROR((AC44-AA44)/AB44,"—")</f>
        <v/>
      </c>
      <c r="AE44" s="128">
        <f>AVERAGE(G44,H44)</f>
        <v/>
      </c>
      <c r="AF44" s="129" t="inlineStr">
        <is>
          <t>OK — sources align</t>
        </is>
      </c>
      <c r="AG44" s="130" t="inlineStr">
        <is>
          <t>category-fallback; keyword-matched</t>
        </is>
      </c>
      <c r="AH44" s="127">
        <f>IFERROR((AB44-AE44)/AE44,"—")</f>
        <v/>
      </c>
      <c r="AI44" s="127">
        <f>IFERROR((S44-AE44)/AE44,"—")</f>
        <v/>
      </c>
      <c r="AJ44" s="131">
        <f>IF(AD44&gt;1, "⚠ HIGH SPREAD", IF(ABS(AH44)&gt;0.5, "⚠ DELTA", "OK"))</f>
        <v/>
      </c>
    </row>
    <row r="45" ht="27.75" customHeight="1" s="56">
      <c r="A45" s="78" t="n"/>
      <c r="B45" s="78" t="inlineStr">
        <is>
          <t>C-40-004</t>
        </is>
      </c>
      <c r="C45" s="59" t="inlineStr">
        <is>
          <t>HDPE 2mm (80mil) liner - full S+I+CQA</t>
        </is>
      </c>
      <c r="D45" s="78" t="inlineStr">
        <is>
          <t>m2</t>
        </is>
      </c>
      <c r="E45" s="79" t="n">
        <v>28</v>
      </c>
      <c r="F45" s="79" t="n">
        <v>50</v>
      </c>
      <c r="G45" s="79" t="n">
        <v>26</v>
      </c>
      <c r="H45" s="79" t="n">
        <v>49</v>
      </c>
      <c r="I45" s="80" t="n">
        <v>31</v>
      </c>
      <c r="J45" s="80" t="n">
        <v>57</v>
      </c>
      <c r="K45" s="80" t="n">
        <v>30</v>
      </c>
      <c r="L45" s="80" t="n">
        <v>52</v>
      </c>
      <c r="M45" s="81" t="n">
        <v>32</v>
      </c>
      <c r="N45" s="81" t="n">
        <v>65</v>
      </c>
      <c r="O45" s="81" t="n">
        <v>33</v>
      </c>
      <c r="P45" s="81" t="n">
        <v>62</v>
      </c>
      <c r="Q45" s="82" t="n">
        <v>39</v>
      </c>
      <c r="R45" s="82" t="n">
        <v>74</v>
      </c>
      <c r="S45" s="83" t="n">
        <v>15</v>
      </c>
      <c r="T45" s="78" t="inlineStr">
        <is>
          <t>-</t>
        </is>
      </c>
      <c r="U45" s="78" t="inlineStr">
        <is>
          <t>-</t>
        </is>
      </c>
      <c r="V45" s="123" t="n">
        <v>30.6</v>
      </c>
      <c r="W45" s="123" t="n">
        <v>36.27</v>
      </c>
      <c r="X45" s="123" t="n">
        <v>19.18</v>
      </c>
      <c r="Y45" s="123" t="n">
        <v>2.3</v>
      </c>
      <c r="Z45" s="123" t="n">
        <v>20</v>
      </c>
      <c r="AA45" s="124">
        <f>MIN(V45:Z45)</f>
        <v/>
      </c>
      <c r="AB45" s="125">
        <f>MEDIAN(V45:Z45)</f>
        <v/>
      </c>
      <c r="AC45" s="126">
        <f>MAX(V45:Z45)</f>
        <v/>
      </c>
      <c r="AD45" s="127">
        <f>IFERROR((AC45-AA45)/AB45,"—")</f>
        <v/>
      </c>
      <c r="AE45" s="128">
        <f>AVERAGE(G45,H45)</f>
        <v/>
      </c>
      <c r="AF45" s="129" t="inlineStr">
        <is>
          <t>OK — sources align</t>
        </is>
      </c>
      <c r="AG45" s="130" t="inlineStr">
        <is>
          <t>size-matched; category-fallback</t>
        </is>
      </c>
      <c r="AH45" s="127">
        <f>IFERROR((AB45-AE45)/AE45,"—")</f>
        <v/>
      </c>
      <c r="AI45" s="127">
        <f>IFERROR((S45-AE45)/AE45,"—")</f>
        <v/>
      </c>
      <c r="AJ45" s="131">
        <f>IF(AD45&gt;1, "⚠ HIGH SPREAD", IF(ABS(AH45)&gt;0.5, "⚠ DELTA", "OK"))</f>
        <v/>
      </c>
    </row>
    <row r="46" ht="27.75" customHeight="1" s="56">
      <c r="A46" s="78" t="n"/>
      <c r="B46" s="78" t="inlineStr">
        <is>
          <t>C-40-008</t>
        </is>
      </c>
      <c r="C46" s="59" t="inlineStr">
        <is>
          <t>Protective cover soil over liner - place+compact</t>
        </is>
      </c>
      <c r="D46" s="78" t="inlineStr">
        <is>
          <t>m3</t>
        </is>
      </c>
      <c r="E46" s="79" t="n">
        <v>28</v>
      </c>
      <c r="F46" s="79" t="n">
        <v>47</v>
      </c>
      <c r="G46" s="79" t="n">
        <v>26</v>
      </c>
      <c r="H46" s="79" t="n">
        <v>46</v>
      </c>
      <c r="I46" s="80" t="n">
        <v>31</v>
      </c>
      <c r="J46" s="80" t="n">
        <v>53</v>
      </c>
      <c r="K46" s="80" t="n">
        <v>30</v>
      </c>
      <c r="L46" s="80" t="n">
        <v>49</v>
      </c>
      <c r="M46" s="81" t="n">
        <v>32</v>
      </c>
      <c r="N46" s="81" t="n">
        <v>61</v>
      </c>
      <c r="O46" s="81" t="n">
        <v>33</v>
      </c>
      <c r="P46" s="81" t="n">
        <v>58</v>
      </c>
      <c r="Q46" s="82" t="n">
        <v>39</v>
      </c>
      <c r="R46" s="82" t="n">
        <v>70</v>
      </c>
      <c r="S46" s="83" t="n">
        <v>51227.1612388666</v>
      </c>
      <c r="T46" s="78" t="inlineStr">
        <is>
          <t>-</t>
        </is>
      </c>
      <c r="U46" s="78" t="inlineStr">
        <is>
          <t>-</t>
        </is>
      </c>
      <c r="V46" s="123" t="n">
        <v>116</v>
      </c>
      <c r="W46" s="123" t="n">
        <v>51.94</v>
      </c>
      <c r="X46" s="123" t="n">
        <v>11.42</v>
      </c>
      <c r="Y46" s="123" t="n">
        <v>12.44</v>
      </c>
      <c r="Z46" s="123" t="n">
        <v>70</v>
      </c>
      <c r="AA46" s="124">
        <f>MIN(V46:Z46)</f>
        <v/>
      </c>
      <c r="AB46" s="125">
        <f>MEDIAN(V46:Z46)</f>
        <v/>
      </c>
      <c r="AC46" s="126">
        <f>MAX(V46:Z46)</f>
        <v/>
      </c>
      <c r="AD46" s="127">
        <f>IFERROR((AC46-AA46)/AB46,"—")</f>
        <v/>
      </c>
      <c r="AE46" s="128">
        <f>AVERAGE(G46,H46)</f>
        <v/>
      </c>
      <c r="AF46" s="129" t="inlineStr">
        <is>
          <t>OK — sources align</t>
        </is>
      </c>
      <c r="AG46" s="130" t="inlineStr">
        <is>
          <t>keyword-matched</t>
        </is>
      </c>
      <c r="AH46" s="127">
        <f>IFERROR((AB46-AE46)/AE46,"—")</f>
        <v/>
      </c>
      <c r="AI46" s="127">
        <f>IFERROR((S46-AE46)/AE46,"—")</f>
        <v/>
      </c>
      <c r="AJ46" s="131">
        <f>IF(AD46&gt;1, "⚠ HIGH SPREAD", IF(ABS(AH46)&gt;0.5, "⚠ DELTA", "OK"))</f>
        <v/>
      </c>
    </row>
    <row r="47" ht="27.75" customHeight="1" s="56">
      <c r="A47" s="78" t="n"/>
      <c r="B47" s="78" t="inlineStr">
        <is>
          <t>C-40-002</t>
        </is>
      </c>
      <c r="C47" s="59" t="inlineStr">
        <is>
          <t>TMF embankment common fill Zone A/B</t>
        </is>
      </c>
      <c r="D47" s="78" t="inlineStr">
        <is>
          <t>m3</t>
        </is>
      </c>
      <c r="E47" s="79" t="n">
        <v>20</v>
      </c>
      <c r="F47" s="79" t="n">
        <v>34</v>
      </c>
      <c r="G47" s="79" t="n">
        <v>19</v>
      </c>
      <c r="H47" s="79" t="n">
        <v>33</v>
      </c>
      <c r="I47" s="80" t="n">
        <v>22</v>
      </c>
      <c r="J47" s="80" t="n">
        <v>38</v>
      </c>
      <c r="K47" s="80" t="n">
        <v>22</v>
      </c>
      <c r="L47" s="80" t="n">
        <v>35</v>
      </c>
      <c r="M47" s="81" t="n">
        <v>23</v>
      </c>
      <c r="N47" s="81" t="n">
        <v>43</v>
      </c>
      <c r="O47" s="81" t="n">
        <v>24</v>
      </c>
      <c r="P47" s="81" t="n">
        <v>42</v>
      </c>
      <c r="Q47" s="82" t="n">
        <v>29</v>
      </c>
      <c r="R47" s="82" t="n">
        <v>50</v>
      </c>
      <c r="S47" s="78" t="inlineStr">
        <is>
          <t>-</t>
        </is>
      </c>
      <c r="T47" s="78" t="inlineStr">
        <is>
          <t>-</t>
        </is>
      </c>
      <c r="U47" s="78" t="inlineStr">
        <is>
          <t>-</t>
        </is>
      </c>
      <c r="V47" s="123" t="n">
        <v>6.2</v>
      </c>
      <c r="W47" s="123" t="n">
        <v>49.78</v>
      </c>
      <c r="X47" s="123" t="n">
        <v>11.42</v>
      </c>
      <c r="Y47" s="123" t="n">
        <v>12.44</v>
      </c>
      <c r="Z47" s="123" t="n">
        <v>13.5</v>
      </c>
      <c r="AA47" s="124">
        <f>MIN(V47:Z47)</f>
        <v/>
      </c>
      <c r="AB47" s="125">
        <f>MEDIAN(V47:Z47)</f>
        <v/>
      </c>
      <c r="AC47" s="126">
        <f>MAX(V47:Z47)</f>
        <v/>
      </c>
      <c r="AD47" s="127">
        <f>IFERROR((AC47-AA47)/AB47,"—")</f>
        <v/>
      </c>
      <c r="AE47" s="128">
        <f>AVERAGE(G47,H47)</f>
        <v/>
      </c>
      <c r="AF47" s="129" t="inlineStr">
        <is>
          <t>OK — sources align</t>
        </is>
      </c>
      <c r="AG47" s="130" t="inlineStr">
        <is>
          <t>keyword-matched</t>
        </is>
      </c>
      <c r="AH47" s="127">
        <f>IFERROR((AB47-AE47)/AE47,"—")</f>
        <v/>
      </c>
      <c r="AI47" s="127">
        <f>IFERROR((S47-AE47)/AE47,"—")</f>
        <v/>
      </c>
      <c r="AJ47" s="131">
        <f>IF(AD47&gt;1, "⚠ HIGH SPREAD", IF(ABS(AH47)&gt;0.5, "⚠ DELTA", "OK"))</f>
        <v/>
      </c>
    </row>
    <row r="48" ht="27.75" customHeight="1" s="56">
      <c r="A48" s="78" t="n"/>
      <c r="B48" s="78" t="inlineStr">
        <is>
          <t>C-40-003</t>
        </is>
      </c>
      <c r="C48" s="59" t="inlineStr">
        <is>
          <t>TMF embankment random rockfill Zone C</t>
        </is>
      </c>
      <c r="D48" s="78" t="inlineStr">
        <is>
          <t>m3</t>
        </is>
      </c>
      <c r="E48" s="79" t="n">
        <v>17</v>
      </c>
      <c r="F48" s="79" t="n">
        <v>29</v>
      </c>
      <c r="G48" s="79" t="n">
        <v>16</v>
      </c>
      <c r="H48" s="79" t="n">
        <v>29</v>
      </c>
      <c r="I48" s="80" t="n">
        <v>18</v>
      </c>
      <c r="J48" s="80" t="n">
        <v>33</v>
      </c>
      <c r="K48" s="80" t="n">
        <v>18</v>
      </c>
      <c r="L48" s="80" t="n">
        <v>30</v>
      </c>
      <c r="M48" s="81" t="n">
        <v>19</v>
      </c>
      <c r="N48" s="81" t="n">
        <v>38</v>
      </c>
      <c r="O48" s="81" t="n">
        <v>20</v>
      </c>
      <c r="P48" s="81" t="n">
        <v>36</v>
      </c>
      <c r="Q48" s="82" t="n">
        <v>23</v>
      </c>
      <c r="R48" s="82" t="n">
        <v>43</v>
      </c>
      <c r="S48" s="78" t="inlineStr">
        <is>
          <t>-</t>
        </is>
      </c>
      <c r="T48" s="78" t="inlineStr">
        <is>
          <t>-</t>
        </is>
      </c>
      <c r="U48" s="78" t="inlineStr">
        <is>
          <t>-</t>
        </is>
      </c>
      <c r="V48" s="123" t="n">
        <v>5.95</v>
      </c>
      <c r="W48" s="123" t="n">
        <v>31.88</v>
      </c>
      <c r="X48" s="123" t="n">
        <v>10.17</v>
      </c>
      <c r="Y48" s="123" t="n">
        <v>12.44</v>
      </c>
      <c r="Z48" s="123" t="n">
        <v>14.25</v>
      </c>
      <c r="AA48" s="124">
        <f>MIN(V48:Z48)</f>
        <v/>
      </c>
      <c r="AB48" s="125">
        <f>MEDIAN(V48:Z48)</f>
        <v/>
      </c>
      <c r="AC48" s="126">
        <f>MAX(V48:Z48)</f>
        <v/>
      </c>
      <c r="AD48" s="127">
        <f>IFERROR((AC48-AA48)/AB48,"—")</f>
        <v/>
      </c>
      <c r="AE48" s="128">
        <f>AVERAGE(G48,H48)</f>
        <v/>
      </c>
      <c r="AF48" s="129" t="inlineStr">
        <is>
          <t>OK — sources align</t>
        </is>
      </c>
      <c r="AG48" s="130" t="inlineStr">
        <is>
          <t>keyword-matched</t>
        </is>
      </c>
      <c r="AH48" s="127">
        <f>IFERROR((AB48-AE48)/AE48,"—")</f>
        <v/>
      </c>
      <c r="AI48" s="127">
        <f>IFERROR((S48-AE48)/AE48,"—")</f>
        <v/>
      </c>
      <c r="AJ48" s="131">
        <f>IF(AD48&gt;1, "⚠ HIGH SPREAD", IF(ABS(AH48)&gt;0.5, "⚠ DELTA", "OK"))</f>
        <v/>
      </c>
    </row>
    <row r="49" ht="27.75" customHeight="1" s="56">
      <c r="A49" s="78" t="n"/>
      <c r="B49" s="78" t="inlineStr">
        <is>
          <t>C-40-009</t>
        </is>
      </c>
      <c r="C49" s="59" t="inlineStr">
        <is>
          <t>TMF perimeter ditch - cut+shape+riprap lined</t>
        </is>
      </c>
      <c r="D49" s="78" t="inlineStr">
        <is>
          <t>m</t>
        </is>
      </c>
      <c r="E49" s="79" t="n">
        <v>258</v>
      </c>
      <c r="F49" s="79" t="n">
        <v>441</v>
      </c>
      <c r="G49" s="79" t="n">
        <v>246</v>
      </c>
      <c r="H49" s="79" t="n">
        <v>428</v>
      </c>
      <c r="I49" s="80" t="n">
        <v>286</v>
      </c>
      <c r="J49" s="80" t="n">
        <v>496</v>
      </c>
      <c r="K49" s="80" t="n">
        <v>280</v>
      </c>
      <c r="L49" s="80" t="n">
        <v>454</v>
      </c>
      <c r="M49" s="81" t="n">
        <v>294</v>
      </c>
      <c r="N49" s="81" t="n">
        <v>567</v>
      </c>
      <c r="O49" s="81" t="n">
        <v>308</v>
      </c>
      <c r="P49" s="81" t="n">
        <v>546</v>
      </c>
      <c r="Q49" s="82" t="n">
        <v>364</v>
      </c>
      <c r="R49" s="82" t="n">
        <v>651</v>
      </c>
      <c r="S49" s="83" t="n">
        <v>19.657</v>
      </c>
      <c r="T49" s="78" t="inlineStr">
        <is>
          <t>-</t>
        </is>
      </c>
      <c r="U49" s="78" t="inlineStr">
        <is>
          <t>-</t>
        </is>
      </c>
      <c r="V49" s="135" t="inlineStr">
        <is>
          <t>—</t>
        </is>
      </c>
      <c r="W49" s="135" t="inlineStr">
        <is>
          <t>—</t>
        </is>
      </c>
      <c r="X49" s="135" t="inlineStr">
        <is>
          <t>—</t>
        </is>
      </c>
      <c r="Y49" s="133" t="inlineStr">
        <is>
          <t>—</t>
        </is>
      </c>
      <c r="Z49" s="132" t="inlineStr">
        <is>
          <t>—</t>
        </is>
      </c>
      <c r="AA49" s="134" t="inlineStr">
        <is>
          <t>—</t>
        </is>
      </c>
      <c r="AB49" s="134" t="inlineStr">
        <is>
          <t>—</t>
        </is>
      </c>
      <c r="AC49" s="132" t="inlineStr">
        <is>
          <t>—</t>
        </is>
      </c>
      <c r="AD49" s="132" t="inlineStr">
        <is>
          <t>—</t>
        </is>
      </c>
      <c r="AE49" s="128">
        <f>AVERAGE(G49,H49)</f>
        <v/>
      </c>
      <c r="AF49" s="129" t="inlineStr">
        <is>
          <t>No bidder data; SME only</t>
        </is>
      </c>
      <c r="AG49" s="130" t="inlineStr">
        <is>
          <t>no match</t>
        </is>
      </c>
      <c r="AH49" s="127">
        <f>IFERROR((AB49-AE49)/AE49,"—")</f>
        <v/>
      </c>
      <c r="AI49" s="127">
        <f>IFERROR((S49-AE49)/AE49,"—")</f>
        <v/>
      </c>
      <c r="AJ49" s="131" t="inlineStr">
        <is>
          <t>—</t>
        </is>
      </c>
    </row>
    <row r="50" ht="19.5" customHeight="1" s="56">
      <c r="A50" s="77" t="inlineStr">
        <is>
          <t>E. Drainage/Culverts</t>
        </is>
      </c>
    </row>
    <row r="51" ht="27.75" customHeight="1" s="56">
      <c r="A51" s="78" t="n"/>
      <c r="B51" s="78" t="inlineStr">
        <is>
          <t>C-50-004</t>
        </is>
      </c>
      <c r="C51" s="59" t="inlineStr">
        <is>
          <t>CSP culvert 1050mm - S+I+bedding</t>
        </is>
      </c>
      <c r="D51" s="78" t="inlineStr">
        <is>
          <t>m</t>
        </is>
      </c>
      <c r="E51" s="79" t="n">
        <v>736</v>
      </c>
      <c r="F51" s="79" t="n">
        <v>1071</v>
      </c>
      <c r="G51" s="79" t="n">
        <v>704</v>
      </c>
      <c r="H51" s="79" t="n">
        <v>1040</v>
      </c>
      <c r="I51" s="80" t="n">
        <v>816</v>
      </c>
      <c r="J51" s="80" t="n">
        <v>1204</v>
      </c>
      <c r="K51" s="80" t="n">
        <v>800</v>
      </c>
      <c r="L51" s="80" t="n">
        <v>1102</v>
      </c>
      <c r="M51" s="81" t="n">
        <v>840</v>
      </c>
      <c r="N51" s="81" t="n">
        <v>1377</v>
      </c>
      <c r="O51" s="81" t="n">
        <v>880</v>
      </c>
      <c r="P51" s="81" t="n">
        <v>1326</v>
      </c>
      <c r="Q51" s="82" t="n">
        <v>1040</v>
      </c>
      <c r="R51" s="82" t="n">
        <v>1581</v>
      </c>
      <c r="S51" s="78" t="inlineStr">
        <is>
          <t>-</t>
        </is>
      </c>
      <c r="T51" s="83" t="n">
        <v>824.24</v>
      </c>
      <c r="U51" s="78" t="inlineStr">
        <is>
          <t>-</t>
        </is>
      </c>
      <c r="V51" s="123" t="n">
        <v>1530</v>
      </c>
      <c r="W51" s="123" t="n">
        <v>5426.83</v>
      </c>
      <c r="X51" s="123" t="n">
        <v>4755.47</v>
      </c>
      <c r="Y51" s="123" t="n">
        <v>1553.31</v>
      </c>
      <c r="Z51" s="123" t="n">
        <v>9250</v>
      </c>
      <c r="AA51" s="124">
        <f>MIN(V51:Z51)</f>
        <v/>
      </c>
      <c r="AB51" s="125">
        <f>MEDIAN(V51:Z51)</f>
        <v/>
      </c>
      <c r="AC51" s="126">
        <f>MAX(V51:Z51)</f>
        <v/>
      </c>
      <c r="AD51" s="127">
        <f>IFERROR((AC51-AA51)/AB51,"—")</f>
        <v/>
      </c>
      <c r="AE51" s="128">
        <f>AVERAGE(G51,H51)</f>
        <v/>
      </c>
      <c r="AF51" s="129" t="inlineStr">
        <is>
          <t>OK — sources align</t>
        </is>
      </c>
      <c r="AG51" s="130" t="inlineStr">
        <is>
          <t>category-fallback</t>
        </is>
      </c>
      <c r="AH51" s="127">
        <f>IFERROR((AB51-AE51)/AE51,"—")</f>
        <v/>
      </c>
      <c r="AI51" s="127">
        <f>IFERROR((S51-AE51)/AE51,"—")</f>
        <v/>
      </c>
      <c r="AJ51" s="131">
        <f>IF(AD51&gt;1, "⚠ HIGH SPREAD", IF(ABS(AH51)&gt;0.5, "⚠ DELTA", "OK"))</f>
        <v/>
      </c>
    </row>
    <row r="52" ht="27.75" customHeight="1" s="56">
      <c r="A52" s="78" t="n"/>
      <c r="B52" s="78" t="inlineStr">
        <is>
          <t>C-50-005</t>
        </is>
      </c>
      <c r="C52" s="59" t="inlineStr">
        <is>
          <t>CSP culvert 1200mm - S+I+bedding</t>
        </is>
      </c>
      <c r="D52" s="78" t="inlineStr">
        <is>
          <t>m</t>
        </is>
      </c>
      <c r="E52" s="79" t="n">
        <v>1012</v>
      </c>
      <c r="F52" s="79" t="n">
        <v>1470</v>
      </c>
      <c r="G52" s="79" t="n">
        <v>968</v>
      </c>
      <c r="H52" s="79" t="n">
        <v>1428</v>
      </c>
      <c r="I52" s="80" t="n">
        <v>1122</v>
      </c>
      <c r="J52" s="80" t="n">
        <v>1652</v>
      </c>
      <c r="K52" s="80" t="n">
        <v>1100</v>
      </c>
      <c r="L52" s="80" t="n">
        <v>1512</v>
      </c>
      <c r="M52" s="81" t="n">
        <v>1155</v>
      </c>
      <c r="N52" s="81" t="n">
        <v>1890</v>
      </c>
      <c r="O52" s="81" t="n">
        <v>1210</v>
      </c>
      <c r="P52" s="81" t="n">
        <v>1820</v>
      </c>
      <c r="Q52" s="82" t="n">
        <v>1430</v>
      </c>
      <c r="R52" s="82" t="n">
        <v>2170</v>
      </c>
      <c r="S52" s="78" t="inlineStr">
        <is>
          <t>-</t>
        </is>
      </c>
      <c r="T52" s="78" t="inlineStr">
        <is>
          <t>-</t>
        </is>
      </c>
      <c r="U52" s="78" t="inlineStr">
        <is>
          <t>-</t>
        </is>
      </c>
      <c r="V52" s="123" t="n">
        <v>930</v>
      </c>
      <c r="W52" s="123" t="n">
        <v>4526.67</v>
      </c>
      <c r="X52" s="123" t="n">
        <v>4755.47</v>
      </c>
      <c r="Y52" s="123" t="n">
        <v>746.0700000000001</v>
      </c>
      <c r="Z52" s="123" t="n">
        <v>7200</v>
      </c>
      <c r="AA52" s="124">
        <f>MIN(V52:Z52)</f>
        <v/>
      </c>
      <c r="AB52" s="125">
        <f>MEDIAN(V52:Z52)</f>
        <v/>
      </c>
      <c r="AC52" s="126">
        <f>MAX(V52:Z52)</f>
        <v/>
      </c>
      <c r="AD52" s="127">
        <f>IFERROR((AC52-AA52)/AB52,"—")</f>
        <v/>
      </c>
      <c r="AE52" s="128">
        <f>AVERAGE(G52,H52)</f>
        <v/>
      </c>
      <c r="AF52" s="129" t="inlineStr">
        <is>
          <t>OK — sources align</t>
        </is>
      </c>
      <c r="AG52" s="130" t="inlineStr">
        <is>
          <t>size-matched</t>
        </is>
      </c>
      <c r="AH52" s="127">
        <f>IFERROR((AB52-AE52)/AE52,"—")</f>
        <v/>
      </c>
      <c r="AI52" s="127">
        <f>IFERROR((S52-AE52)/AE52,"—")</f>
        <v/>
      </c>
      <c r="AJ52" s="131">
        <f>IF(AD52&gt;1, "⚠ HIGH SPREAD", IF(ABS(AH52)&gt;0.5, "⚠ DELTA", "OK"))</f>
        <v/>
      </c>
    </row>
    <row r="53" ht="27.75" customHeight="1" s="56">
      <c r="A53" s="78" t="n"/>
      <c r="B53" s="78" t="inlineStr">
        <is>
          <t>C-50-002</t>
        </is>
      </c>
      <c r="C53" s="59" t="inlineStr">
        <is>
          <t>CSP culvert 750mm - S+I+bedding</t>
        </is>
      </c>
      <c r="D53" s="78" t="inlineStr">
        <is>
          <t>m</t>
        </is>
      </c>
      <c r="E53" s="79" t="n">
        <v>534</v>
      </c>
      <c r="F53" s="79" t="n">
        <v>788</v>
      </c>
      <c r="G53" s="79" t="n">
        <v>510</v>
      </c>
      <c r="H53" s="79" t="n">
        <v>765</v>
      </c>
      <c r="I53" s="80" t="n">
        <v>592</v>
      </c>
      <c r="J53" s="80" t="n">
        <v>885</v>
      </c>
      <c r="K53" s="80" t="n">
        <v>580</v>
      </c>
      <c r="L53" s="80" t="n">
        <v>810</v>
      </c>
      <c r="M53" s="81" t="n">
        <v>609</v>
      </c>
      <c r="N53" s="81" t="n">
        <v>1013</v>
      </c>
      <c r="O53" s="81" t="n">
        <v>638</v>
      </c>
      <c r="P53" s="81" t="n">
        <v>975</v>
      </c>
      <c r="Q53" s="82" t="n">
        <v>754</v>
      </c>
      <c r="R53" s="82" t="n">
        <v>1162</v>
      </c>
      <c r="S53" s="78" t="inlineStr">
        <is>
          <t>-</t>
        </is>
      </c>
      <c r="T53" s="78" t="inlineStr">
        <is>
          <t>-</t>
        </is>
      </c>
      <c r="U53" s="78" t="inlineStr">
        <is>
          <t>-</t>
        </is>
      </c>
      <c r="V53" s="123" t="n">
        <v>1530</v>
      </c>
      <c r="W53" s="123" t="n">
        <v>5426.83</v>
      </c>
      <c r="X53" s="123" t="n">
        <v>4755.47</v>
      </c>
      <c r="Y53" s="123" t="n">
        <v>1553.31</v>
      </c>
      <c r="Z53" s="123" t="n">
        <v>9250</v>
      </c>
      <c r="AA53" s="124">
        <f>MIN(V53:Z53)</f>
        <v/>
      </c>
      <c r="AB53" s="125">
        <f>MEDIAN(V53:Z53)</f>
        <v/>
      </c>
      <c r="AC53" s="126">
        <f>MAX(V53:Z53)</f>
        <v/>
      </c>
      <c r="AD53" s="127">
        <f>IFERROR((AC53-AA53)/AB53,"—")</f>
        <v/>
      </c>
      <c r="AE53" s="128">
        <f>AVERAGE(G53,H53)</f>
        <v/>
      </c>
      <c r="AF53" s="129" t="inlineStr">
        <is>
          <t>OK — sources align</t>
        </is>
      </c>
      <c r="AG53" s="130" t="inlineStr">
        <is>
          <t>category-fallback</t>
        </is>
      </c>
      <c r="AH53" s="127">
        <f>IFERROR((AB53-AE53)/AE53,"—")</f>
        <v/>
      </c>
      <c r="AI53" s="127">
        <f>IFERROR((S53-AE53)/AE53,"—")</f>
        <v/>
      </c>
      <c r="AJ53" s="131">
        <f>IF(AD53&gt;1, "⚠ HIGH SPREAD", IF(ABS(AH53)&gt;0.5, "⚠ DELTA", "OK"))</f>
        <v/>
      </c>
    </row>
    <row r="54" ht="27.75" customHeight="1" s="56">
      <c r="A54" s="78" t="n"/>
      <c r="B54" s="78" t="inlineStr">
        <is>
          <t>C-50-003</t>
        </is>
      </c>
      <c r="C54" s="59" t="inlineStr">
        <is>
          <t>CSP culvert 900mm - S+I+bedding</t>
        </is>
      </c>
      <c r="D54" s="78" t="inlineStr">
        <is>
          <t>m</t>
        </is>
      </c>
      <c r="E54" s="79" t="n">
        <v>626</v>
      </c>
      <c r="F54" s="79" t="n">
        <v>924</v>
      </c>
      <c r="G54" s="79" t="n">
        <v>598</v>
      </c>
      <c r="H54" s="79" t="n">
        <v>898</v>
      </c>
      <c r="I54" s="80" t="n">
        <v>694</v>
      </c>
      <c r="J54" s="80" t="n">
        <v>1038</v>
      </c>
      <c r="K54" s="80" t="n">
        <v>680</v>
      </c>
      <c r="L54" s="80" t="n">
        <v>950</v>
      </c>
      <c r="M54" s="81" t="n">
        <v>714</v>
      </c>
      <c r="N54" s="81" t="n">
        <v>1188</v>
      </c>
      <c r="O54" s="81" t="n">
        <v>748</v>
      </c>
      <c r="P54" s="81" t="n">
        <v>1144</v>
      </c>
      <c r="Q54" s="82" t="n">
        <v>884</v>
      </c>
      <c r="R54" s="82" t="n">
        <v>1364</v>
      </c>
      <c r="S54" s="78" t="inlineStr">
        <is>
          <t>-</t>
        </is>
      </c>
      <c r="T54" s="83" t="n">
        <v>720.58</v>
      </c>
      <c r="U54" s="78" t="inlineStr">
        <is>
          <t>-</t>
        </is>
      </c>
      <c r="V54" s="123" t="n">
        <v>1530</v>
      </c>
      <c r="W54" s="123" t="n">
        <v>5426.83</v>
      </c>
      <c r="X54" s="123" t="n">
        <v>4755.47</v>
      </c>
      <c r="Y54" s="123" t="n">
        <v>1553.31</v>
      </c>
      <c r="Z54" s="123" t="n">
        <v>9250</v>
      </c>
      <c r="AA54" s="124">
        <f>MIN(V54:Z54)</f>
        <v/>
      </c>
      <c r="AB54" s="125">
        <f>MEDIAN(V54:Z54)</f>
        <v/>
      </c>
      <c r="AC54" s="126">
        <f>MAX(V54:Z54)</f>
        <v/>
      </c>
      <c r="AD54" s="127">
        <f>IFERROR((AC54-AA54)/AB54,"—")</f>
        <v/>
      </c>
      <c r="AE54" s="128">
        <f>AVERAGE(G54,H54)</f>
        <v/>
      </c>
      <c r="AF54" s="129" t="inlineStr">
        <is>
          <t>OK — sources align</t>
        </is>
      </c>
      <c r="AG54" s="130" t="inlineStr">
        <is>
          <t>category-fallback</t>
        </is>
      </c>
      <c r="AH54" s="127">
        <f>IFERROR((AB54-AE54)/AE54,"—")</f>
        <v/>
      </c>
      <c r="AI54" s="127">
        <f>IFERROR((S54-AE54)/AE54,"—")</f>
        <v/>
      </c>
      <c r="AJ54" s="131">
        <f>IF(AD54&gt;1, "⚠ HIGH SPREAD", IF(ABS(AH54)&gt;0.5, "⚠ DELTA", "OK"))</f>
        <v/>
      </c>
    </row>
    <row r="55" ht="27.75" customHeight="1" s="56">
      <c r="A55" s="78" t="n"/>
      <c r="B55" s="78" t="inlineStr">
        <is>
          <t>C-50-009</t>
        </is>
      </c>
      <c r="C55" s="59" t="inlineStr">
        <is>
          <t>CSP flow guard 1200mm - S+I</t>
        </is>
      </c>
      <c r="D55" s="78" t="inlineStr">
        <is>
          <t>ea</t>
        </is>
      </c>
      <c r="E55" s="79" t="n">
        <v>7820</v>
      </c>
      <c r="F55" s="79" t="n">
        <v>11025</v>
      </c>
      <c r="G55" s="79" t="n">
        <v>7480</v>
      </c>
      <c r="H55" s="79" t="n">
        <v>10710</v>
      </c>
      <c r="I55" s="80" t="n">
        <v>8670</v>
      </c>
      <c r="J55" s="80" t="n">
        <v>12390</v>
      </c>
      <c r="K55" s="80" t="n">
        <v>8500</v>
      </c>
      <c r="L55" s="80" t="n">
        <v>11340</v>
      </c>
      <c r="M55" s="81" t="n">
        <v>8925</v>
      </c>
      <c r="N55" s="81" t="n">
        <v>14175</v>
      </c>
      <c r="O55" s="81" t="n">
        <v>9350</v>
      </c>
      <c r="P55" s="81" t="n">
        <v>13650</v>
      </c>
      <c r="Q55" s="82" t="n">
        <v>11050</v>
      </c>
      <c r="R55" s="82" t="n">
        <v>16275</v>
      </c>
      <c r="S55" s="83" t="n">
        <v>4724.5</v>
      </c>
      <c r="T55" s="78" t="inlineStr">
        <is>
          <t>-</t>
        </is>
      </c>
      <c r="U55" s="78" t="inlineStr">
        <is>
          <t>-</t>
        </is>
      </c>
      <c r="V55" s="123" t="n">
        <v>872</v>
      </c>
      <c r="W55" s="123" t="n">
        <v>4146.73</v>
      </c>
      <c r="X55" s="123" t="n">
        <v>639.05</v>
      </c>
      <c r="Y55" s="133" t="inlineStr">
        <is>
          <t>—</t>
        </is>
      </c>
      <c r="Z55" s="123" t="n">
        <v>3400</v>
      </c>
      <c r="AA55" s="124">
        <f>MIN(V55:Z55)</f>
        <v/>
      </c>
      <c r="AB55" s="125">
        <f>MEDIAN(V55:Z55)</f>
        <v/>
      </c>
      <c r="AC55" s="126">
        <f>MAX(V55:Z55)</f>
        <v/>
      </c>
      <c r="AD55" s="127">
        <f>IFERROR((AC55-AA55)/AB55,"—")</f>
        <v/>
      </c>
      <c r="AE55" s="128">
        <f>AVERAGE(G55,H55)</f>
        <v/>
      </c>
      <c r="AF55" s="129" t="inlineStr">
        <is>
          <t>OK — sources align</t>
        </is>
      </c>
      <c r="AG55" s="130" t="inlineStr">
        <is>
          <t>size-matched; category-fallback</t>
        </is>
      </c>
      <c r="AH55" s="127">
        <f>IFERROR((AB55-AE55)/AE55,"—")</f>
        <v/>
      </c>
      <c r="AI55" s="127">
        <f>IFERROR((S55-AE55)/AE55,"—")</f>
        <v/>
      </c>
      <c r="AJ55" s="131">
        <f>IF(AD55&gt;1, "⚠ HIGH SPREAD", IF(ABS(AH55)&gt;0.5, "⚠ DELTA", "OK"))</f>
        <v/>
      </c>
    </row>
    <row r="56" ht="27.75" customHeight="1" s="56">
      <c r="A56" s="78" t="n"/>
      <c r="B56" s="78" t="inlineStr">
        <is>
          <t>C-50-006</t>
        </is>
      </c>
      <c r="C56" s="59" t="inlineStr">
        <is>
          <t>CSP flow guard 600mm - S+I</t>
        </is>
      </c>
      <c r="D56" s="78" t="inlineStr">
        <is>
          <t>ea</t>
        </is>
      </c>
      <c r="E56" s="79" t="n">
        <v>2300</v>
      </c>
      <c r="F56" s="79" t="n">
        <v>3360</v>
      </c>
      <c r="G56" s="79" t="n">
        <v>2200</v>
      </c>
      <c r="H56" s="79" t="n">
        <v>3264</v>
      </c>
      <c r="I56" s="80" t="n">
        <v>2550</v>
      </c>
      <c r="J56" s="80" t="n">
        <v>3776</v>
      </c>
      <c r="K56" s="80" t="n">
        <v>2500</v>
      </c>
      <c r="L56" s="80" t="n">
        <v>3456</v>
      </c>
      <c r="M56" s="81" t="n">
        <v>2625</v>
      </c>
      <c r="N56" s="81" t="n">
        <v>4320</v>
      </c>
      <c r="O56" s="81" t="n">
        <v>2750</v>
      </c>
      <c r="P56" s="81" t="n">
        <v>4160</v>
      </c>
      <c r="Q56" s="82" t="n">
        <v>3250</v>
      </c>
      <c r="R56" s="82" t="n">
        <v>4960</v>
      </c>
      <c r="S56" s="83" t="n">
        <v>4724.5</v>
      </c>
      <c r="T56" s="78" t="inlineStr">
        <is>
          <t>-</t>
        </is>
      </c>
      <c r="U56" s="78" t="inlineStr">
        <is>
          <t>-</t>
        </is>
      </c>
      <c r="V56" s="123" t="n">
        <v>465</v>
      </c>
      <c r="W56" s="123" t="n">
        <v>4146.73</v>
      </c>
      <c r="X56" s="123" t="n">
        <v>639.05</v>
      </c>
      <c r="Y56" s="133" t="inlineStr">
        <is>
          <t>—</t>
        </is>
      </c>
      <c r="Z56" s="123" t="n">
        <v>3400</v>
      </c>
      <c r="AA56" s="124">
        <f>MIN(V56:Z56)</f>
        <v/>
      </c>
      <c r="AB56" s="125">
        <f>MEDIAN(V56:Z56)</f>
        <v/>
      </c>
      <c r="AC56" s="126">
        <f>MAX(V56:Z56)</f>
        <v/>
      </c>
      <c r="AD56" s="127">
        <f>IFERROR((AC56-AA56)/AB56,"—")</f>
        <v/>
      </c>
      <c r="AE56" s="128">
        <f>AVERAGE(G56,H56)</f>
        <v/>
      </c>
      <c r="AF56" s="129" t="inlineStr">
        <is>
          <t>OK — sources align</t>
        </is>
      </c>
      <c r="AG56" s="130" t="inlineStr">
        <is>
          <t>size-matched; category-fallback</t>
        </is>
      </c>
      <c r="AH56" s="127">
        <f>IFERROR((AB56-AE56)/AE56,"—")</f>
        <v/>
      </c>
      <c r="AI56" s="127">
        <f>IFERROR((S56-AE56)/AE56,"—")</f>
        <v/>
      </c>
      <c r="AJ56" s="131">
        <f>IF(AD56&gt;1, "⚠ HIGH SPREAD", IF(ABS(AH56)&gt;0.5, "⚠ DELTA", "OK"))</f>
        <v/>
      </c>
    </row>
    <row r="57" ht="27.75" customHeight="1" s="56">
      <c r="A57" s="78" t="n"/>
      <c r="B57" s="78" t="inlineStr">
        <is>
          <t>C-50-007</t>
        </is>
      </c>
      <c r="C57" s="59" t="inlineStr">
        <is>
          <t>CSP flow guard 750mm - S+I</t>
        </is>
      </c>
      <c r="D57" s="78" t="inlineStr">
        <is>
          <t>ea</t>
        </is>
      </c>
      <c r="E57" s="79" t="n">
        <v>9660</v>
      </c>
      <c r="F57" s="79" t="n">
        <v>13650</v>
      </c>
      <c r="G57" s="79" t="n">
        <v>9240</v>
      </c>
      <c r="H57" s="79" t="n">
        <v>13260</v>
      </c>
      <c r="I57" s="80" t="n">
        <v>10710</v>
      </c>
      <c r="J57" s="80" t="n">
        <v>15340</v>
      </c>
      <c r="K57" s="80" t="n">
        <v>10500</v>
      </c>
      <c r="L57" s="80" t="n">
        <v>14040</v>
      </c>
      <c r="M57" s="81" t="n">
        <v>11025</v>
      </c>
      <c r="N57" s="81" t="n">
        <v>17550</v>
      </c>
      <c r="O57" s="81" t="n">
        <v>11550</v>
      </c>
      <c r="P57" s="81" t="n">
        <v>16900</v>
      </c>
      <c r="Q57" s="82" t="n">
        <v>13650</v>
      </c>
      <c r="R57" s="82" t="n">
        <v>20150</v>
      </c>
      <c r="S57" s="83" t="n">
        <v>4724.5</v>
      </c>
      <c r="T57" s="78" t="inlineStr">
        <is>
          <t>-</t>
        </is>
      </c>
      <c r="U57" s="78" t="inlineStr">
        <is>
          <t>-</t>
        </is>
      </c>
      <c r="V57" s="123" t="n">
        <v>523</v>
      </c>
      <c r="W57" s="123" t="n">
        <v>4146.73</v>
      </c>
      <c r="X57" s="123" t="n">
        <v>639.05</v>
      </c>
      <c r="Y57" s="133" t="inlineStr">
        <is>
          <t>—</t>
        </is>
      </c>
      <c r="Z57" s="123" t="n">
        <v>3400</v>
      </c>
      <c r="AA57" s="124">
        <f>MIN(V57:Z57)</f>
        <v/>
      </c>
      <c r="AB57" s="125">
        <f>MEDIAN(V57:Z57)</f>
        <v/>
      </c>
      <c r="AC57" s="126">
        <f>MAX(V57:Z57)</f>
        <v/>
      </c>
      <c r="AD57" s="127">
        <f>IFERROR((AC57-AA57)/AB57,"—")</f>
        <v/>
      </c>
      <c r="AE57" s="128">
        <f>AVERAGE(G57,H57)</f>
        <v/>
      </c>
      <c r="AF57" s="129" t="inlineStr">
        <is>
          <t>OK — sources align</t>
        </is>
      </c>
      <c r="AG57" s="130" t="inlineStr">
        <is>
          <t>size-matched; category-fallback</t>
        </is>
      </c>
      <c r="AH57" s="127">
        <f>IFERROR((AB57-AE57)/AE57,"—")</f>
        <v/>
      </c>
      <c r="AI57" s="127">
        <f>IFERROR((S57-AE57)/AE57,"—")</f>
        <v/>
      </c>
      <c r="AJ57" s="131">
        <f>IF(AD57&gt;1, "⚠ HIGH SPREAD", IF(ABS(AH57)&gt;0.5, "⚠ DELTA", "OK"))</f>
        <v/>
      </c>
    </row>
    <row r="58" ht="27.75" customHeight="1" s="56">
      <c r="A58" s="78" t="n"/>
      <c r="B58" s="78" t="inlineStr">
        <is>
          <t>C-50-008</t>
        </is>
      </c>
      <c r="C58" s="59" t="inlineStr">
        <is>
          <t>CSP flow guard 900mm - S+I</t>
        </is>
      </c>
      <c r="D58" s="78" t="inlineStr">
        <is>
          <t>ea</t>
        </is>
      </c>
      <c r="E58" s="79" t="n">
        <v>12880</v>
      </c>
      <c r="F58" s="79" t="n">
        <v>18375</v>
      </c>
      <c r="G58" s="79" t="n">
        <v>12320</v>
      </c>
      <c r="H58" s="79" t="n">
        <v>17850</v>
      </c>
      <c r="I58" s="80" t="n">
        <v>14280</v>
      </c>
      <c r="J58" s="80" t="n">
        <v>20650</v>
      </c>
      <c r="K58" s="80" t="n">
        <v>14000</v>
      </c>
      <c r="L58" s="80" t="n">
        <v>18900</v>
      </c>
      <c r="M58" s="81" t="n">
        <v>14700</v>
      </c>
      <c r="N58" s="81" t="n">
        <v>23625</v>
      </c>
      <c r="O58" s="81" t="n">
        <v>15400</v>
      </c>
      <c r="P58" s="81" t="n">
        <v>22750</v>
      </c>
      <c r="Q58" s="82" t="n">
        <v>18200</v>
      </c>
      <c r="R58" s="82" t="n">
        <v>27125</v>
      </c>
      <c r="S58" s="83" t="n">
        <v>4724.5</v>
      </c>
      <c r="T58" s="78" t="inlineStr">
        <is>
          <t>-</t>
        </is>
      </c>
      <c r="U58" s="78" t="inlineStr">
        <is>
          <t>-</t>
        </is>
      </c>
      <c r="V58" s="123" t="n">
        <v>697</v>
      </c>
      <c r="W58" s="123" t="n">
        <v>2073.37</v>
      </c>
      <c r="X58" s="123" t="n">
        <v>639.05</v>
      </c>
      <c r="Y58" s="133" t="inlineStr">
        <is>
          <t>—</t>
        </is>
      </c>
      <c r="Z58" s="123" t="n">
        <v>3800</v>
      </c>
      <c r="AA58" s="124">
        <f>MIN(V58:Z58)</f>
        <v/>
      </c>
      <c r="AB58" s="125">
        <f>MEDIAN(V58:Z58)</f>
        <v/>
      </c>
      <c r="AC58" s="126">
        <f>MAX(V58:Z58)</f>
        <v/>
      </c>
      <c r="AD58" s="127">
        <f>IFERROR((AC58-AA58)/AB58,"—")</f>
        <v/>
      </c>
      <c r="AE58" s="128">
        <f>AVERAGE(G58,H58)</f>
        <v/>
      </c>
      <c r="AF58" s="129" t="inlineStr">
        <is>
          <t>OK — sources align</t>
        </is>
      </c>
      <c r="AG58" s="130" t="inlineStr">
        <is>
          <t>size-matched</t>
        </is>
      </c>
      <c r="AH58" s="127">
        <f>IFERROR((AB58-AE58)/AE58,"—")</f>
        <v/>
      </c>
      <c r="AI58" s="127">
        <f>IFERROR((S58-AE58)/AE58,"—")</f>
        <v/>
      </c>
      <c r="AJ58" s="131">
        <f>IF(AD58&gt;1, "⚠ HIGH SPREAD", IF(ABS(AH58)&gt;0.5, "⚠ DELTA", "OK"))</f>
        <v/>
      </c>
    </row>
    <row r="59" ht="27.75" customHeight="1" s="56">
      <c r="A59" s="78" t="n"/>
      <c r="B59" s="78" t="inlineStr">
        <is>
          <t>C-50-015</t>
        </is>
      </c>
      <c r="C59" s="59" t="inlineStr">
        <is>
          <t>Clear stone discharge pipe 450mm - S+I</t>
        </is>
      </c>
      <c r="D59" s="78" t="inlineStr">
        <is>
          <t>m</t>
        </is>
      </c>
      <c r="E59" s="79" t="n">
        <v>368</v>
      </c>
      <c r="F59" s="79" t="n">
        <v>546</v>
      </c>
      <c r="G59" s="79" t="n">
        <v>352</v>
      </c>
      <c r="H59" s="79" t="n">
        <v>530</v>
      </c>
      <c r="I59" s="80" t="n">
        <v>408</v>
      </c>
      <c r="J59" s="80" t="n">
        <v>614</v>
      </c>
      <c r="K59" s="80" t="n">
        <v>400</v>
      </c>
      <c r="L59" s="80" t="n">
        <v>562</v>
      </c>
      <c r="M59" s="81" t="n">
        <v>420</v>
      </c>
      <c r="N59" s="81" t="n">
        <v>702</v>
      </c>
      <c r="O59" s="81" t="n">
        <v>440</v>
      </c>
      <c r="P59" s="81" t="n">
        <v>676</v>
      </c>
      <c r="Q59" s="82" t="n">
        <v>520</v>
      </c>
      <c r="R59" s="82" t="n">
        <v>806</v>
      </c>
      <c r="S59" s="83" t="n">
        <v>264.825</v>
      </c>
      <c r="T59" s="78" t="inlineStr">
        <is>
          <t>-</t>
        </is>
      </c>
      <c r="U59" s="78" t="inlineStr">
        <is>
          <t>-</t>
        </is>
      </c>
      <c r="V59" s="123" t="n">
        <v>415</v>
      </c>
      <c r="W59" s="123" t="n">
        <v>85.97</v>
      </c>
      <c r="X59" s="123" t="n">
        <v>1193.04</v>
      </c>
      <c r="Y59" s="123" t="n">
        <v>336.13</v>
      </c>
      <c r="Z59" s="123" t="n">
        <v>450</v>
      </c>
      <c r="AA59" s="124">
        <f>MIN(V59:Z59)</f>
        <v/>
      </c>
      <c r="AB59" s="125">
        <f>MEDIAN(V59:Z59)</f>
        <v/>
      </c>
      <c r="AC59" s="126">
        <f>MAX(V59:Z59)</f>
        <v/>
      </c>
      <c r="AD59" s="127">
        <f>IFERROR((AC59-AA59)/AB59,"—")</f>
        <v/>
      </c>
      <c r="AE59" s="128">
        <f>AVERAGE(G59,H59)</f>
        <v/>
      </c>
      <c r="AF59" s="129" t="inlineStr">
        <is>
          <t>OK — sources align</t>
        </is>
      </c>
      <c r="AG59" s="130" t="inlineStr">
        <is>
          <t>size-matched; category-fallback</t>
        </is>
      </c>
      <c r="AH59" s="127">
        <f>IFERROR((AB59-AE59)/AE59,"—")</f>
        <v/>
      </c>
      <c r="AI59" s="127">
        <f>IFERROR((S59-AE59)/AE59,"—")</f>
        <v/>
      </c>
      <c r="AJ59" s="131">
        <f>IF(AD59&gt;1, "⚠ HIGH SPREAD", IF(ABS(AH59)&gt;0.5, "⚠ DELTA", "OK"))</f>
        <v/>
      </c>
    </row>
    <row r="60" ht="27.75" customHeight="1" s="56">
      <c r="A60" s="78" t="n"/>
      <c r="B60" s="78" t="inlineStr">
        <is>
          <t>C-50-016</t>
        </is>
      </c>
      <c r="C60" s="59" t="inlineStr">
        <is>
          <t>Discharge trench clear stone - supply+place</t>
        </is>
      </c>
      <c r="D60" s="78" t="inlineStr">
        <is>
          <t>m3</t>
        </is>
      </c>
      <c r="E60" s="79" t="n">
        <v>124</v>
      </c>
      <c r="F60" s="79" t="n">
        <v>184</v>
      </c>
      <c r="G60" s="79" t="n">
        <v>119</v>
      </c>
      <c r="H60" s="79" t="n">
        <v>178</v>
      </c>
      <c r="I60" s="80" t="n">
        <v>138</v>
      </c>
      <c r="J60" s="80" t="n">
        <v>206</v>
      </c>
      <c r="K60" s="80" t="n">
        <v>135</v>
      </c>
      <c r="L60" s="80" t="n">
        <v>189</v>
      </c>
      <c r="M60" s="81" t="n">
        <v>142</v>
      </c>
      <c r="N60" s="81" t="n">
        <v>236</v>
      </c>
      <c r="O60" s="81" t="n">
        <v>148</v>
      </c>
      <c r="P60" s="81" t="n">
        <v>228</v>
      </c>
      <c r="Q60" s="82" t="n">
        <v>176</v>
      </c>
      <c r="R60" s="82" t="n">
        <v>271</v>
      </c>
      <c r="S60" s="83" t="n">
        <v>126.2294</v>
      </c>
      <c r="T60" s="78" t="inlineStr">
        <is>
          <t>-</t>
        </is>
      </c>
      <c r="U60" s="78" t="inlineStr">
        <is>
          <t>-</t>
        </is>
      </c>
      <c r="V60" s="123" t="n">
        <v>54.7</v>
      </c>
      <c r="W60" s="123" t="n">
        <v>14.4</v>
      </c>
      <c r="X60" s="123" t="n">
        <v>15.54</v>
      </c>
      <c r="Y60" s="123" t="n">
        <v>12.44</v>
      </c>
      <c r="Z60" s="123" t="n">
        <v>30</v>
      </c>
      <c r="AA60" s="124">
        <f>MIN(V60:Z60)</f>
        <v/>
      </c>
      <c r="AB60" s="125">
        <f>MEDIAN(V60:Z60)</f>
        <v/>
      </c>
      <c r="AC60" s="126">
        <f>MAX(V60:Z60)</f>
        <v/>
      </c>
      <c r="AD60" s="127">
        <f>IFERROR((AC60-AA60)/AB60,"—")</f>
        <v/>
      </c>
      <c r="AE60" s="128">
        <f>AVERAGE(G60,H60)</f>
        <v/>
      </c>
      <c r="AF60" s="129" t="inlineStr">
        <is>
          <t>OK — sources align</t>
        </is>
      </c>
      <c r="AG60" s="130" t="inlineStr">
        <is>
          <t>keyword-matched</t>
        </is>
      </c>
      <c r="AH60" s="127">
        <f>IFERROR((AB60-AE60)/AE60,"—")</f>
        <v/>
      </c>
      <c r="AI60" s="127">
        <f>IFERROR((S60-AE60)/AE60,"—")</f>
        <v/>
      </c>
      <c r="AJ60" s="131">
        <f>IF(AD60&gt;1, "⚠ HIGH SPREAD", IF(ABS(AH60)&gt;0.5, "⚠ DELTA", "OK"))</f>
        <v/>
      </c>
    </row>
    <row r="61" ht="27.75" customHeight="1" s="56">
      <c r="A61" s="78" t="n"/>
      <c r="B61" s="78" t="inlineStr">
        <is>
          <t>C-50-010</t>
        </is>
      </c>
      <c r="C61" s="59" t="inlineStr">
        <is>
          <t>HDPE 100mm DR11 buried - excav+install+BF</t>
        </is>
      </c>
      <c r="D61" s="78" t="inlineStr">
        <is>
          <t>m</t>
        </is>
      </c>
      <c r="E61" s="79" t="n">
        <v>285</v>
      </c>
      <c r="F61" s="79" t="n">
        <v>420</v>
      </c>
      <c r="G61" s="79" t="n">
        <v>273</v>
      </c>
      <c r="H61" s="79" t="n">
        <v>408</v>
      </c>
      <c r="I61" s="80" t="n">
        <v>316</v>
      </c>
      <c r="J61" s="80" t="n">
        <v>472</v>
      </c>
      <c r="K61" s="80" t="n">
        <v>310</v>
      </c>
      <c r="L61" s="80" t="n">
        <v>432</v>
      </c>
      <c r="M61" s="81" t="n">
        <v>326</v>
      </c>
      <c r="N61" s="81" t="n">
        <v>540</v>
      </c>
      <c r="O61" s="81" t="n">
        <v>341</v>
      </c>
      <c r="P61" s="81" t="n">
        <v>520</v>
      </c>
      <c r="Q61" s="82" t="n">
        <v>403</v>
      </c>
      <c r="R61" s="82" t="n">
        <v>620</v>
      </c>
      <c r="S61" s="83" t="n">
        <v>95164.60799999999</v>
      </c>
      <c r="T61" s="78" t="inlineStr">
        <is>
          <t>-</t>
        </is>
      </c>
      <c r="U61" s="78" t="inlineStr">
        <is>
          <t>-</t>
        </is>
      </c>
      <c r="V61" s="123" t="n">
        <v>490</v>
      </c>
      <c r="W61" s="123" t="n">
        <v>1266.76</v>
      </c>
      <c r="X61" s="123" t="n">
        <v>826.35</v>
      </c>
      <c r="Y61" s="123" t="n">
        <v>220.87</v>
      </c>
      <c r="Z61" s="123" t="n">
        <v>600</v>
      </c>
      <c r="AA61" s="124">
        <f>MIN(V61:Z61)</f>
        <v/>
      </c>
      <c r="AB61" s="125">
        <f>MEDIAN(V61:Z61)</f>
        <v/>
      </c>
      <c r="AC61" s="126">
        <f>MAX(V61:Z61)</f>
        <v/>
      </c>
      <c r="AD61" s="127">
        <f>IFERROR((AC61-AA61)/AB61,"—")</f>
        <v/>
      </c>
      <c r="AE61" s="128">
        <f>AVERAGE(G61,H61)</f>
        <v/>
      </c>
      <c r="AF61" s="129" t="inlineStr">
        <is>
          <t>OK — sources align</t>
        </is>
      </c>
      <c r="AG61" s="130" t="inlineStr">
        <is>
          <t>size-matched</t>
        </is>
      </c>
      <c r="AH61" s="127">
        <f>IFERROR((AB61-AE61)/AE61,"—")</f>
        <v/>
      </c>
      <c r="AI61" s="127">
        <f>IFERROR((S61-AE61)/AE61,"—")</f>
        <v/>
      </c>
      <c r="AJ61" s="131">
        <f>IF(AD61&gt;1, "⚠ HIGH SPREAD", IF(ABS(AH61)&gt;0.5, "⚠ DELTA", "OK"))</f>
        <v/>
      </c>
    </row>
    <row r="62" ht="27.75" customHeight="1" s="56">
      <c r="A62" s="78" t="n"/>
      <c r="B62" s="78" t="inlineStr">
        <is>
          <t>C-50-014</t>
        </is>
      </c>
      <c r="C62" s="59" t="inlineStr">
        <is>
          <t>HDPE 1200mm inlet piping - S+I</t>
        </is>
      </c>
      <c r="D62" s="78" t="inlineStr">
        <is>
          <t>m</t>
        </is>
      </c>
      <c r="E62" s="79" t="n">
        <v>1380</v>
      </c>
      <c r="F62" s="79" t="n">
        <v>1995</v>
      </c>
      <c r="G62" s="79" t="n">
        <v>1320</v>
      </c>
      <c r="H62" s="79" t="n">
        <v>1938</v>
      </c>
      <c r="I62" s="80" t="n">
        <v>1530</v>
      </c>
      <c r="J62" s="80" t="n">
        <v>2242</v>
      </c>
      <c r="K62" s="80" t="n">
        <v>1500</v>
      </c>
      <c r="L62" s="80" t="n">
        <v>2052</v>
      </c>
      <c r="M62" s="81" t="n">
        <v>1575</v>
      </c>
      <c r="N62" s="81" t="n">
        <v>2565</v>
      </c>
      <c r="O62" s="81" t="n">
        <v>1650</v>
      </c>
      <c r="P62" s="81" t="n">
        <v>2470</v>
      </c>
      <c r="Q62" s="82" t="n">
        <v>1950</v>
      </c>
      <c r="R62" s="82" t="n">
        <v>2945</v>
      </c>
      <c r="S62" s="83" t="n">
        <v>1396.8</v>
      </c>
      <c r="T62" s="78" t="inlineStr">
        <is>
          <t>-</t>
        </is>
      </c>
      <c r="U62" s="78" t="inlineStr">
        <is>
          <t>-</t>
        </is>
      </c>
      <c r="V62" s="123" t="n">
        <v>1205</v>
      </c>
      <c r="W62" s="123" t="n">
        <v>2539.78</v>
      </c>
      <c r="X62" s="123" t="n">
        <v>719.1799999999999</v>
      </c>
      <c r="Y62" s="123" t="n">
        <v>369.63</v>
      </c>
      <c r="Z62" s="123" t="n">
        <v>1500</v>
      </c>
      <c r="AA62" s="124">
        <f>MIN(V62:Z62)</f>
        <v/>
      </c>
      <c r="AB62" s="125">
        <f>MEDIAN(V62:Z62)</f>
        <v/>
      </c>
      <c r="AC62" s="126">
        <f>MAX(V62:Z62)</f>
        <v/>
      </c>
      <c r="AD62" s="127">
        <f>IFERROR((AC62-AA62)/AB62,"—")</f>
        <v/>
      </c>
      <c r="AE62" s="128">
        <f>AVERAGE(G62,H62)</f>
        <v/>
      </c>
      <c r="AF62" s="129" t="inlineStr">
        <is>
          <t>OK — sources align</t>
        </is>
      </c>
      <c r="AG62" s="130" t="inlineStr">
        <is>
          <t>size-matched</t>
        </is>
      </c>
      <c r="AH62" s="127">
        <f>IFERROR((AB62-AE62)/AE62,"—")</f>
        <v/>
      </c>
      <c r="AI62" s="127">
        <f>IFERROR((S62-AE62)/AE62,"—")</f>
        <v/>
      </c>
      <c r="AJ62" s="131">
        <f>IF(AD62&gt;1, "⚠ HIGH SPREAD", IF(ABS(AH62)&gt;0.5, "⚠ DELTA", "OK"))</f>
        <v/>
      </c>
    </row>
    <row r="63" ht="27.75" customHeight="1" s="56">
      <c r="A63" s="78" t="n"/>
      <c r="B63" s="78" t="inlineStr">
        <is>
          <t>C-50-011</t>
        </is>
      </c>
      <c r="C63" s="59" t="inlineStr">
        <is>
          <t>HDPE 150mm DR11 above grade + insulation</t>
        </is>
      </c>
      <c r="D63" s="78" t="inlineStr">
        <is>
          <t>m</t>
        </is>
      </c>
      <c r="E63" s="79" t="n">
        <v>230</v>
      </c>
      <c r="F63" s="79" t="n">
        <v>346</v>
      </c>
      <c r="G63" s="79" t="n">
        <v>220</v>
      </c>
      <c r="H63" s="79" t="n">
        <v>337</v>
      </c>
      <c r="I63" s="80" t="n">
        <v>255</v>
      </c>
      <c r="J63" s="80" t="n">
        <v>389</v>
      </c>
      <c r="K63" s="80" t="n">
        <v>250</v>
      </c>
      <c r="L63" s="80" t="n">
        <v>356</v>
      </c>
      <c r="M63" s="81" t="n">
        <v>262</v>
      </c>
      <c r="N63" s="81" t="n">
        <v>446</v>
      </c>
      <c r="O63" s="81" t="n">
        <v>275</v>
      </c>
      <c r="P63" s="81" t="n">
        <v>429</v>
      </c>
      <c r="Q63" s="82" t="n">
        <v>325</v>
      </c>
      <c r="R63" s="82" t="n">
        <v>512</v>
      </c>
      <c r="S63" s="83" t="n">
        <v>283.228</v>
      </c>
      <c r="T63" s="78" t="inlineStr">
        <is>
          <t>-</t>
        </is>
      </c>
      <c r="U63" s="78" t="inlineStr">
        <is>
          <t>-</t>
        </is>
      </c>
      <c r="V63" s="123" t="n">
        <v>490</v>
      </c>
      <c r="W63" s="123" t="n">
        <v>860.15</v>
      </c>
      <c r="X63" s="123" t="n">
        <v>826.35</v>
      </c>
      <c r="Y63" s="123" t="n">
        <v>220.87</v>
      </c>
      <c r="Z63" s="123" t="n">
        <v>275</v>
      </c>
      <c r="AA63" s="124">
        <f>MIN(V63:Z63)</f>
        <v/>
      </c>
      <c r="AB63" s="125">
        <f>MEDIAN(V63:Z63)</f>
        <v/>
      </c>
      <c r="AC63" s="126">
        <f>MAX(V63:Z63)</f>
        <v/>
      </c>
      <c r="AD63" s="127">
        <f>IFERROR((AC63-AA63)/AB63,"—")</f>
        <v/>
      </c>
      <c r="AE63" s="128">
        <f>AVERAGE(G63,H63)</f>
        <v/>
      </c>
      <c r="AF63" s="129" t="inlineStr">
        <is>
          <t>OK — sources align</t>
        </is>
      </c>
      <c r="AG63" s="130" t="inlineStr">
        <is>
          <t>size-matched</t>
        </is>
      </c>
      <c r="AH63" s="127">
        <f>IFERROR((AB63-AE63)/AE63,"—")</f>
        <v/>
      </c>
      <c r="AI63" s="127">
        <f>IFERROR((S63-AE63)/AE63,"—")</f>
        <v/>
      </c>
      <c r="AJ63" s="131">
        <f>IF(AD63&gt;1, "⚠ HIGH SPREAD", IF(ABS(AH63)&gt;0.5, "⚠ DELTA", "OK"))</f>
        <v/>
      </c>
    </row>
    <row r="64" ht="27.75" customHeight="1" s="56">
      <c r="A64" s="78" t="n"/>
      <c r="B64" s="78" t="inlineStr">
        <is>
          <t>C-50-012</t>
        </is>
      </c>
      <c r="C64" s="59" t="inlineStr">
        <is>
          <t>HDPE 200mm DR11 above grade + insulation</t>
        </is>
      </c>
      <c r="D64" s="78" t="inlineStr">
        <is>
          <t>m</t>
        </is>
      </c>
      <c r="E64" s="79" t="n">
        <v>271</v>
      </c>
      <c r="F64" s="79" t="n">
        <v>399</v>
      </c>
      <c r="G64" s="79" t="n">
        <v>260</v>
      </c>
      <c r="H64" s="79" t="n">
        <v>388</v>
      </c>
      <c r="I64" s="80" t="n">
        <v>301</v>
      </c>
      <c r="J64" s="80" t="n">
        <v>448</v>
      </c>
      <c r="K64" s="80" t="n">
        <v>295</v>
      </c>
      <c r="L64" s="80" t="n">
        <v>410</v>
      </c>
      <c r="M64" s="81" t="n">
        <v>310</v>
      </c>
      <c r="N64" s="81" t="n">
        <v>513</v>
      </c>
      <c r="O64" s="81" t="n">
        <v>324</v>
      </c>
      <c r="P64" s="81" t="n">
        <v>494</v>
      </c>
      <c r="Q64" s="82" t="n">
        <v>384</v>
      </c>
      <c r="R64" s="82" t="n">
        <v>589</v>
      </c>
      <c r="S64" s="83" t="n">
        <v>283.228</v>
      </c>
      <c r="T64" s="78" t="inlineStr">
        <is>
          <t>-</t>
        </is>
      </c>
      <c r="U64" s="78" t="inlineStr">
        <is>
          <t>-</t>
        </is>
      </c>
      <c r="V64" s="123" t="n">
        <v>490</v>
      </c>
      <c r="W64" s="123" t="n">
        <v>860.15</v>
      </c>
      <c r="X64" s="123" t="n">
        <v>826.35</v>
      </c>
      <c r="Y64" s="123" t="n">
        <v>220.87</v>
      </c>
      <c r="Z64" s="123" t="n">
        <v>275</v>
      </c>
      <c r="AA64" s="124">
        <f>MIN(V64:Z64)</f>
        <v/>
      </c>
      <c r="AB64" s="125">
        <f>MEDIAN(V64:Z64)</f>
        <v/>
      </c>
      <c r="AC64" s="126">
        <f>MAX(V64:Z64)</f>
        <v/>
      </c>
      <c r="AD64" s="127">
        <f>IFERROR((AC64-AA64)/AB64,"—")</f>
        <v/>
      </c>
      <c r="AE64" s="128">
        <f>AVERAGE(G64,H64)</f>
        <v/>
      </c>
      <c r="AF64" s="129" t="inlineStr">
        <is>
          <t>OK — sources align</t>
        </is>
      </c>
      <c r="AG64" s="130" t="inlineStr">
        <is>
          <t>size-matched</t>
        </is>
      </c>
      <c r="AH64" s="127">
        <f>IFERROR((AB64-AE64)/AE64,"—")</f>
        <v/>
      </c>
      <c r="AI64" s="127">
        <f>IFERROR((S64-AE64)/AE64,"—")</f>
        <v/>
      </c>
      <c r="AJ64" s="131">
        <f>IF(AD64&gt;1, "⚠ HIGH SPREAD", IF(ABS(AH64)&gt;0.5, "⚠ DELTA", "OK"))</f>
        <v/>
      </c>
    </row>
    <row r="65" ht="27.75" customHeight="1" s="56">
      <c r="A65" s="78" t="n"/>
      <c r="B65" s="78" t="inlineStr">
        <is>
          <t>C-50-013</t>
        </is>
      </c>
      <c r="C65" s="59" t="inlineStr">
        <is>
          <t>HDPE 600mm DR17 above grade + insulation</t>
        </is>
      </c>
      <c r="D65" s="78" t="inlineStr">
        <is>
          <t>m</t>
        </is>
      </c>
      <c r="E65" s="79" t="n">
        <v>258</v>
      </c>
      <c r="F65" s="79" t="n">
        <v>388</v>
      </c>
      <c r="G65" s="79" t="n">
        <v>246</v>
      </c>
      <c r="H65" s="79" t="n">
        <v>377</v>
      </c>
      <c r="I65" s="80" t="n">
        <v>286</v>
      </c>
      <c r="J65" s="80" t="n">
        <v>437</v>
      </c>
      <c r="K65" s="80" t="n">
        <v>280</v>
      </c>
      <c r="L65" s="80" t="n">
        <v>400</v>
      </c>
      <c r="M65" s="81" t="n">
        <v>294</v>
      </c>
      <c r="N65" s="81" t="n">
        <v>500</v>
      </c>
      <c r="O65" s="81" t="n">
        <v>308</v>
      </c>
      <c r="P65" s="81" t="n">
        <v>481</v>
      </c>
      <c r="Q65" s="82" t="n">
        <v>364</v>
      </c>
      <c r="R65" s="82" t="n">
        <v>574</v>
      </c>
      <c r="S65" s="83" t="n">
        <v>283.228</v>
      </c>
      <c r="T65" s="78" t="inlineStr">
        <is>
          <t>-</t>
        </is>
      </c>
      <c r="U65" s="78" t="inlineStr">
        <is>
          <t>-</t>
        </is>
      </c>
      <c r="V65" s="123" t="n">
        <v>345</v>
      </c>
      <c r="W65" s="123" t="n">
        <v>837.45</v>
      </c>
      <c r="X65" s="123" t="n">
        <v>826.35</v>
      </c>
      <c r="Y65" s="123" t="n">
        <v>369.63</v>
      </c>
      <c r="Z65" s="123" t="n">
        <v>2400</v>
      </c>
      <c r="AA65" s="124">
        <f>MIN(V65:Z65)</f>
        <v/>
      </c>
      <c r="AB65" s="125">
        <f>MEDIAN(V65:Z65)</f>
        <v/>
      </c>
      <c r="AC65" s="126">
        <f>MAX(V65:Z65)</f>
        <v/>
      </c>
      <c r="AD65" s="127">
        <f>IFERROR((AC65-AA65)/AB65,"—")</f>
        <v/>
      </c>
      <c r="AE65" s="128">
        <f>AVERAGE(G65,H65)</f>
        <v/>
      </c>
      <c r="AF65" s="129" t="inlineStr">
        <is>
          <t>OK — sources align</t>
        </is>
      </c>
      <c r="AG65" s="130" t="inlineStr">
        <is>
          <t>size-matched; category-fallback</t>
        </is>
      </c>
      <c r="AH65" s="127">
        <f>IFERROR((AB65-AE65)/AE65,"—")</f>
        <v/>
      </c>
      <c r="AI65" s="127">
        <f>IFERROR((S65-AE65)/AE65,"—")</f>
        <v/>
      </c>
      <c r="AJ65" s="131">
        <f>IF(AD65&gt;1, "⚠ HIGH SPREAD", IF(ABS(AH65)&gt;0.5, "⚠ DELTA", "OK"))</f>
        <v/>
      </c>
    </row>
    <row r="66" ht="19.5" customHeight="1" s="56">
      <c r="A66" s="77" t="inlineStr">
        <is>
          <t>F. Concrete</t>
        </is>
      </c>
    </row>
    <row r="67" ht="27.75" customHeight="1" s="56">
      <c r="A67" s="78" t="n"/>
      <c r="B67" s="78" t="inlineStr">
        <is>
          <t>C-60-004</t>
        </is>
      </c>
      <c r="C67" s="59" t="inlineStr">
        <is>
          <t>Concrete footing - continuous/isolated</t>
        </is>
      </c>
      <c r="D67" s="78" t="inlineStr">
        <is>
          <t>m3</t>
        </is>
      </c>
      <c r="E67" s="79" t="n">
        <v>2208</v>
      </c>
      <c r="F67" s="79" t="n">
        <v>3150</v>
      </c>
      <c r="G67" s="79" t="n">
        <v>2112</v>
      </c>
      <c r="H67" s="79" t="n">
        <v>3060</v>
      </c>
      <c r="I67" s="80" t="n">
        <v>2448</v>
      </c>
      <c r="J67" s="80" t="n">
        <v>3540</v>
      </c>
      <c r="K67" s="80" t="n">
        <v>2400</v>
      </c>
      <c r="L67" s="80" t="n">
        <v>3240</v>
      </c>
      <c r="M67" s="81" t="n">
        <v>2520</v>
      </c>
      <c r="N67" s="81" t="n">
        <v>4050</v>
      </c>
      <c r="O67" s="81" t="n">
        <v>2640</v>
      </c>
      <c r="P67" s="81" t="n">
        <v>3900</v>
      </c>
      <c r="Q67" s="82" t="n">
        <v>3120</v>
      </c>
      <c r="R67" s="82" t="n">
        <v>4650</v>
      </c>
      <c r="S67" s="83" t="n">
        <v>1148.75</v>
      </c>
      <c r="T67" s="83" t="n">
        <v>2692.3</v>
      </c>
      <c r="U67" s="78" t="inlineStr">
        <is>
          <t>-</t>
        </is>
      </c>
      <c r="V67" s="123" t="n">
        <v>1885</v>
      </c>
      <c r="W67" s="123" t="n">
        <v>4854.87</v>
      </c>
      <c r="X67" s="123" t="n">
        <v>1803.8</v>
      </c>
      <c r="Y67" s="123" t="n">
        <v>10.7</v>
      </c>
      <c r="Z67" s="123" t="n">
        <v>9.5</v>
      </c>
      <c r="AA67" s="124">
        <f>MIN(V67:Z67)</f>
        <v/>
      </c>
      <c r="AB67" s="125">
        <f>MEDIAN(V67:Z67)</f>
        <v/>
      </c>
      <c r="AC67" s="126">
        <f>MAX(V67:Z67)</f>
        <v/>
      </c>
      <c r="AD67" s="127">
        <f>IFERROR((AC67-AA67)/AB67,"—")</f>
        <v/>
      </c>
      <c r="AE67" s="128">
        <f>AVERAGE(G67,H67)</f>
        <v/>
      </c>
      <c r="AF67" s="129" t="inlineStr">
        <is>
          <t>OK — sources align</t>
        </is>
      </c>
      <c r="AG67" s="130" t="inlineStr">
        <is>
          <t>category-fallback</t>
        </is>
      </c>
      <c r="AH67" s="127">
        <f>IFERROR((AB67-AE67)/AE67,"—")</f>
        <v/>
      </c>
      <c r="AI67" s="127">
        <f>IFERROR((S67-AE67)/AE67,"—")</f>
        <v/>
      </c>
      <c r="AJ67" s="131">
        <f>IF(AD67&gt;1, "⚠ HIGH SPREAD", IF(ABS(AH67)&gt;0.5, "⚠ DELTA", "OK"))</f>
        <v/>
      </c>
    </row>
    <row r="68" ht="27.75" customHeight="1" s="56">
      <c r="A68" s="78" t="n"/>
      <c r="B68" s="78" t="inlineStr">
        <is>
          <t>C-60-003</t>
        </is>
      </c>
      <c r="C68" s="59" t="inlineStr">
        <is>
          <t>Concrete pier - drill+form+pour</t>
        </is>
      </c>
      <c r="D68" s="78" t="inlineStr">
        <is>
          <t>m3</t>
        </is>
      </c>
      <c r="E68" s="79" t="n">
        <v>3312</v>
      </c>
      <c r="F68" s="79" t="n">
        <v>4725</v>
      </c>
      <c r="G68" s="79" t="n">
        <v>3168</v>
      </c>
      <c r="H68" s="79" t="n">
        <v>4590</v>
      </c>
      <c r="I68" s="80" t="n">
        <v>3672</v>
      </c>
      <c r="J68" s="80" t="n">
        <v>5310</v>
      </c>
      <c r="K68" s="80" t="n">
        <v>3600</v>
      </c>
      <c r="L68" s="80" t="n">
        <v>4860</v>
      </c>
      <c r="M68" s="81" t="n">
        <v>3780</v>
      </c>
      <c r="N68" s="81" t="n">
        <v>6075</v>
      </c>
      <c r="O68" s="81" t="n">
        <v>3960</v>
      </c>
      <c r="P68" s="81" t="n">
        <v>5850</v>
      </c>
      <c r="Q68" s="82" t="n">
        <v>4680</v>
      </c>
      <c r="R68" s="82" t="n">
        <v>6975</v>
      </c>
      <c r="S68" s="83" t="n">
        <v>1680.65</v>
      </c>
      <c r="T68" s="78" t="inlineStr">
        <is>
          <t>-</t>
        </is>
      </c>
      <c r="U68" s="78" t="inlineStr">
        <is>
          <t>-</t>
        </is>
      </c>
      <c r="V68" s="123" t="n">
        <v>1885</v>
      </c>
      <c r="W68" s="123" t="n">
        <v>4854.87</v>
      </c>
      <c r="X68" s="123" t="n">
        <v>1803.8</v>
      </c>
      <c r="Y68" s="123" t="n">
        <v>12.44</v>
      </c>
      <c r="Z68" s="123" t="n">
        <v>40</v>
      </c>
      <c r="AA68" s="124">
        <f>MIN(V68:Z68)</f>
        <v/>
      </c>
      <c r="AB68" s="125">
        <f>MEDIAN(V68:Z68)</f>
        <v/>
      </c>
      <c r="AC68" s="126">
        <f>MAX(V68:Z68)</f>
        <v/>
      </c>
      <c r="AD68" s="127">
        <f>IFERROR((AC68-AA68)/AB68,"—")</f>
        <v/>
      </c>
      <c r="AE68" s="128">
        <f>AVERAGE(G68,H68)</f>
        <v/>
      </c>
      <c r="AF68" s="129" t="inlineStr">
        <is>
          <t>OK — sources align</t>
        </is>
      </c>
      <c r="AG68" s="130" t="inlineStr">
        <is>
          <t>category-fallback</t>
        </is>
      </c>
      <c r="AH68" s="127">
        <f>IFERROR((AB68-AE68)/AE68,"—")</f>
        <v/>
      </c>
      <c r="AI68" s="127">
        <f>IFERROR((S68-AE68)/AE68,"—")</f>
        <v/>
      </c>
      <c r="AJ68" s="131">
        <f>IF(AD68&gt;1, "⚠ HIGH SPREAD", IF(ABS(AH68)&gt;0.5, "⚠ DELTA", "OK"))</f>
        <v/>
      </c>
    </row>
    <row r="69" ht="27.75" customHeight="1" s="56">
      <c r="A69" s="78" t="n"/>
      <c r="B69" s="78" t="inlineStr">
        <is>
          <t>C-60-002</t>
        </is>
      </c>
      <c r="C69" s="59" t="inlineStr">
        <is>
          <t>Concrete wall and grade beam - S+pour+cure</t>
        </is>
      </c>
      <c r="D69" s="78" t="inlineStr">
        <is>
          <t>m3</t>
        </is>
      </c>
      <c r="E69" s="79" t="n">
        <v>2300</v>
      </c>
      <c r="F69" s="79" t="n">
        <v>3360</v>
      </c>
      <c r="G69" s="79" t="n">
        <v>2200</v>
      </c>
      <c r="H69" s="79" t="n">
        <v>3264</v>
      </c>
      <c r="I69" s="80" t="n">
        <v>2550</v>
      </c>
      <c r="J69" s="80" t="n">
        <v>3776</v>
      </c>
      <c r="K69" s="80" t="n">
        <v>2500</v>
      </c>
      <c r="L69" s="80" t="n">
        <v>3456</v>
      </c>
      <c r="M69" s="81" t="n">
        <v>2625</v>
      </c>
      <c r="N69" s="81" t="n">
        <v>4320</v>
      </c>
      <c r="O69" s="81" t="n">
        <v>2750</v>
      </c>
      <c r="P69" s="81" t="n">
        <v>4160</v>
      </c>
      <c r="Q69" s="82" t="n">
        <v>3250</v>
      </c>
      <c r="R69" s="82" t="n">
        <v>4960</v>
      </c>
      <c r="S69" s="78" t="inlineStr">
        <is>
          <t>-</t>
        </is>
      </c>
      <c r="T69" s="83" t="n">
        <v>2692.3</v>
      </c>
      <c r="U69" s="78" t="inlineStr">
        <is>
          <t>-</t>
        </is>
      </c>
      <c r="V69" s="123" t="n">
        <v>1885</v>
      </c>
      <c r="W69" s="123" t="n">
        <v>4854.87</v>
      </c>
      <c r="X69" s="123" t="n">
        <v>1803.8</v>
      </c>
      <c r="Y69" s="133" t="inlineStr">
        <is>
          <t>—</t>
        </is>
      </c>
      <c r="Z69" s="132" t="inlineStr">
        <is>
          <t>—</t>
        </is>
      </c>
      <c r="AA69" s="124">
        <f>MIN(V69:Z69)</f>
        <v/>
      </c>
      <c r="AB69" s="125">
        <f>MEDIAN(V69:Z69)</f>
        <v/>
      </c>
      <c r="AC69" s="126">
        <f>MAX(V69:Z69)</f>
        <v/>
      </c>
      <c r="AD69" s="127">
        <f>IFERROR((AC69-AA69)/AB69,"—")</f>
        <v/>
      </c>
      <c r="AE69" s="128">
        <f>AVERAGE(G69,H69)</f>
        <v/>
      </c>
      <c r="AF69" s="129" t="inlineStr">
        <is>
          <t>OK — sources align</t>
        </is>
      </c>
      <c r="AG69" s="130" t="inlineStr">
        <is>
          <t>category-fallback</t>
        </is>
      </c>
      <c r="AH69" s="127">
        <f>IFERROR((AB69-AE69)/AE69,"—")</f>
        <v/>
      </c>
      <c r="AI69" s="127">
        <f>IFERROR((S69-AE69)/AE69,"—")</f>
        <v/>
      </c>
      <c r="AJ69" s="131">
        <f>IF(AD69&gt;1, "⚠ HIGH SPREAD", IF(ABS(AH69)&gt;0.5, "⚠ DELTA", "OK"))</f>
        <v/>
      </c>
    </row>
    <row r="70" ht="27.75" customHeight="1" s="56">
      <c r="A70" s="78" t="n"/>
      <c r="B70" s="78" t="inlineStr">
        <is>
          <t>C-60-006</t>
        </is>
      </c>
      <c r="C70" s="59" t="inlineStr">
        <is>
          <t>Rebar Grade 400 - supply+install</t>
        </is>
      </c>
      <c r="D70" s="78" t="inlineStr">
        <is>
          <t>tonne</t>
        </is>
      </c>
      <c r="E70" s="79" t="n">
        <v>3680</v>
      </c>
      <c r="F70" s="79" t="n">
        <v>6300</v>
      </c>
      <c r="G70" s="79" t="n">
        <v>3520</v>
      </c>
      <c r="H70" s="79" t="n">
        <v>6120</v>
      </c>
      <c r="I70" s="80" t="n">
        <v>4080</v>
      </c>
      <c r="J70" s="80" t="n">
        <v>7080</v>
      </c>
      <c r="K70" s="80" t="n">
        <v>4000</v>
      </c>
      <c r="L70" s="80" t="n">
        <v>6480</v>
      </c>
      <c r="M70" s="81" t="n">
        <v>4200</v>
      </c>
      <c r="N70" s="81" t="n">
        <v>8100</v>
      </c>
      <c r="O70" s="81" t="n">
        <v>4400</v>
      </c>
      <c r="P70" s="81" t="n">
        <v>7800</v>
      </c>
      <c r="Q70" s="82" t="n">
        <v>5200</v>
      </c>
      <c r="R70" s="82" t="n">
        <v>9300</v>
      </c>
      <c r="S70" s="83" t="n">
        <v>1000</v>
      </c>
      <c r="T70" s="78" t="inlineStr">
        <is>
          <t>-</t>
        </is>
      </c>
      <c r="U70" s="78" t="inlineStr">
        <is>
          <t>-</t>
        </is>
      </c>
      <c r="V70" s="135" t="inlineStr">
        <is>
          <t>—</t>
        </is>
      </c>
      <c r="W70" s="135" t="inlineStr">
        <is>
          <t>—</t>
        </is>
      </c>
      <c r="X70" s="135" t="inlineStr">
        <is>
          <t>—</t>
        </is>
      </c>
      <c r="Y70" s="133" t="inlineStr">
        <is>
          <t>—</t>
        </is>
      </c>
      <c r="Z70" s="132" t="inlineStr">
        <is>
          <t>—</t>
        </is>
      </c>
      <c r="AA70" s="134" t="inlineStr">
        <is>
          <t>—</t>
        </is>
      </c>
      <c r="AB70" s="134" t="inlineStr">
        <is>
          <t>—</t>
        </is>
      </c>
      <c r="AC70" s="132" t="inlineStr">
        <is>
          <t>—</t>
        </is>
      </c>
      <c r="AD70" s="132" t="inlineStr">
        <is>
          <t>—</t>
        </is>
      </c>
      <c r="AE70" s="128">
        <f>AVERAGE(G70,H70)</f>
        <v/>
      </c>
      <c r="AF70" s="129" t="inlineStr">
        <is>
          <t>No bidder data; SME only</t>
        </is>
      </c>
      <c r="AG70" s="130" t="inlineStr">
        <is>
          <t>no match</t>
        </is>
      </c>
      <c r="AH70" s="127">
        <f>IFERROR((AB70-AE70)/AE70,"—")</f>
        <v/>
      </c>
      <c r="AI70" s="127">
        <f>IFERROR((S70-AE70)/AE70,"—")</f>
        <v/>
      </c>
      <c r="AJ70" s="131" t="inlineStr">
        <is>
          <t>—</t>
        </is>
      </c>
    </row>
    <row r="71" ht="27.75" customHeight="1" s="56">
      <c r="A71" s="78" t="n"/>
      <c r="B71" s="78" t="inlineStr">
        <is>
          <t>C-60-005</t>
        </is>
      </c>
      <c r="C71" s="59" t="inlineStr">
        <is>
          <t>Shotcrete rock reinforcement 50mm</t>
        </is>
      </c>
      <c r="D71" s="78" t="inlineStr">
        <is>
          <t>m2</t>
        </is>
      </c>
      <c r="E71" s="79" t="n">
        <v>83</v>
      </c>
      <c r="F71" s="79" t="n">
        <v>147</v>
      </c>
      <c r="G71" s="79" t="n">
        <v>79</v>
      </c>
      <c r="H71" s="79" t="n">
        <v>143</v>
      </c>
      <c r="I71" s="80" t="n">
        <v>92</v>
      </c>
      <c r="J71" s="80" t="n">
        <v>165</v>
      </c>
      <c r="K71" s="80" t="n">
        <v>90</v>
      </c>
      <c r="L71" s="80" t="n">
        <v>151</v>
      </c>
      <c r="M71" s="81" t="n">
        <v>94</v>
      </c>
      <c r="N71" s="81" t="n">
        <v>189</v>
      </c>
      <c r="O71" s="81" t="n">
        <v>99</v>
      </c>
      <c r="P71" s="81" t="n">
        <v>182</v>
      </c>
      <c r="Q71" s="82" t="n">
        <v>117</v>
      </c>
      <c r="R71" s="82" t="n">
        <v>217</v>
      </c>
      <c r="S71" s="78" t="inlineStr">
        <is>
          <t>-</t>
        </is>
      </c>
      <c r="T71" s="78" t="inlineStr">
        <is>
          <t>-</t>
        </is>
      </c>
      <c r="U71" s="78" t="inlineStr">
        <is>
          <t>-</t>
        </is>
      </c>
      <c r="V71" s="123" t="n">
        <v>16.6</v>
      </c>
      <c r="W71" s="123" t="n">
        <v>5.68</v>
      </c>
      <c r="X71" s="123" t="n">
        <v>10.86</v>
      </c>
      <c r="Y71" s="123" t="n">
        <v>1.4</v>
      </c>
      <c r="Z71" s="123" t="n">
        <v>5</v>
      </c>
      <c r="AA71" s="124">
        <f>MIN(V71:Z71)</f>
        <v/>
      </c>
      <c r="AB71" s="125">
        <f>MEDIAN(V71:Z71)</f>
        <v/>
      </c>
      <c r="AC71" s="126">
        <f>MAX(V71:Z71)</f>
        <v/>
      </c>
      <c r="AD71" s="127">
        <f>IFERROR((AC71-AA71)/AB71,"—")</f>
        <v/>
      </c>
      <c r="AE71" s="128">
        <f>AVERAGE(G71,H71)</f>
        <v/>
      </c>
      <c r="AF71" s="129" t="inlineStr">
        <is>
          <t>OK — sources align</t>
        </is>
      </c>
      <c r="AG71" s="130" t="inlineStr">
        <is>
          <t>category-fallback</t>
        </is>
      </c>
      <c r="AH71" s="127">
        <f>IFERROR((AB71-AE71)/AE71,"—")</f>
        <v/>
      </c>
      <c r="AI71" s="127">
        <f>IFERROR((S71-AE71)/AE71,"—")</f>
        <v/>
      </c>
      <c r="AJ71" s="131">
        <f>IF(AD71&gt;1, "⚠ HIGH SPREAD", IF(ABS(AH71)&gt;0.5, "⚠ DELTA", "OK"))</f>
        <v/>
      </c>
    </row>
    <row r="72" ht="19.5" customHeight="1" s="56">
      <c r="A72" s="77" t="inlineStr">
        <is>
          <t>G. Steel</t>
        </is>
      </c>
    </row>
    <row r="73" ht="27.75" customHeight="1" s="56">
      <c r="A73" s="78" t="n"/>
      <c r="B73" s="78" t="inlineStr">
        <is>
          <t>C-70-006</t>
        </is>
      </c>
      <c r="C73" s="59" t="inlineStr">
        <is>
          <t>Handrail incl. toe plate and fasteners</t>
        </is>
      </c>
      <c r="D73" s="78" t="inlineStr">
        <is>
          <t>m</t>
        </is>
      </c>
      <c r="E73" s="79" t="n">
        <v>405</v>
      </c>
      <c r="F73" s="79" t="n">
        <v>525</v>
      </c>
      <c r="G73" s="79" t="n">
        <v>387</v>
      </c>
      <c r="H73" s="79" t="n">
        <v>510</v>
      </c>
      <c r="I73" s="80" t="n">
        <v>449</v>
      </c>
      <c r="J73" s="80" t="n">
        <v>590</v>
      </c>
      <c r="K73" s="80" t="n">
        <v>440</v>
      </c>
      <c r="L73" s="80" t="n">
        <v>540</v>
      </c>
      <c r="M73" s="81" t="n">
        <v>462</v>
      </c>
      <c r="N73" s="81" t="n">
        <v>675</v>
      </c>
      <c r="O73" s="81" t="n">
        <v>484</v>
      </c>
      <c r="P73" s="81" t="n">
        <v>650</v>
      </c>
      <c r="Q73" s="82" t="n">
        <v>572</v>
      </c>
      <c r="R73" s="82" t="n">
        <v>775</v>
      </c>
      <c r="S73" s="78" t="inlineStr">
        <is>
          <t>-</t>
        </is>
      </c>
      <c r="T73" s="78" t="inlineStr">
        <is>
          <t>-</t>
        </is>
      </c>
      <c r="U73" s="78" t="inlineStr">
        <is>
          <t>-</t>
        </is>
      </c>
      <c r="V73" s="132" t="inlineStr">
        <is>
          <t>—</t>
        </is>
      </c>
      <c r="W73" s="132" t="inlineStr">
        <is>
          <t>—</t>
        </is>
      </c>
      <c r="X73" s="132" t="inlineStr">
        <is>
          <t>—</t>
        </is>
      </c>
      <c r="Y73" s="133" t="inlineStr">
        <is>
          <t>—</t>
        </is>
      </c>
      <c r="Z73" s="132" t="inlineStr">
        <is>
          <t>—</t>
        </is>
      </c>
      <c r="AA73" s="134" t="inlineStr">
        <is>
          <t>—</t>
        </is>
      </c>
      <c r="AB73" s="134" t="inlineStr">
        <is>
          <t>—</t>
        </is>
      </c>
      <c r="AC73" s="132" t="inlineStr">
        <is>
          <t>—</t>
        </is>
      </c>
      <c r="AD73" s="132" t="inlineStr">
        <is>
          <t>—</t>
        </is>
      </c>
      <c r="AE73" s="128">
        <f>AVERAGE(G73,H73)</f>
        <v/>
      </c>
      <c r="AF73" s="129" t="inlineStr">
        <is>
          <t>No bidder data; SME only</t>
        </is>
      </c>
      <c r="AG73" s="130" t="inlineStr">
        <is>
          <t>no match</t>
        </is>
      </c>
      <c r="AH73" s="127">
        <f>IFERROR((AB73-AE73)/AE73,"—")</f>
        <v/>
      </c>
      <c r="AI73" s="127">
        <f>IFERROR((S73-AE73)/AE73,"—")</f>
        <v/>
      </c>
      <c r="AJ73" s="131" t="inlineStr">
        <is>
          <t>—</t>
        </is>
      </c>
    </row>
    <row r="74" ht="27.75" customHeight="1" s="56">
      <c r="A74" s="78" t="n"/>
      <c r="B74" s="78" t="inlineStr">
        <is>
          <t>C-70-009</t>
        </is>
      </c>
      <c r="C74" s="59" t="inlineStr">
        <is>
          <t>Metal cladding 22ga prefinished - supply+erect</t>
        </is>
      </c>
      <c r="D74" s="78" t="inlineStr">
        <is>
          <t>m2</t>
        </is>
      </c>
      <c r="E74" s="79" t="n">
        <v>244</v>
      </c>
      <c r="F74" s="79" t="n">
        <v>336</v>
      </c>
      <c r="G74" s="79" t="n">
        <v>233</v>
      </c>
      <c r="H74" s="79" t="n">
        <v>326</v>
      </c>
      <c r="I74" s="80" t="n">
        <v>270</v>
      </c>
      <c r="J74" s="80" t="n">
        <v>378</v>
      </c>
      <c r="K74" s="80" t="n">
        <v>265</v>
      </c>
      <c r="L74" s="80" t="n">
        <v>346</v>
      </c>
      <c r="M74" s="81" t="n">
        <v>278</v>
      </c>
      <c r="N74" s="81" t="n">
        <v>432</v>
      </c>
      <c r="O74" s="81" t="n">
        <v>292</v>
      </c>
      <c r="P74" s="81" t="n">
        <v>416</v>
      </c>
      <c r="Q74" s="82" t="n">
        <v>344</v>
      </c>
      <c r="R74" s="82" t="n">
        <v>496</v>
      </c>
      <c r="S74" s="78" t="inlineStr">
        <is>
          <t>-</t>
        </is>
      </c>
      <c r="T74" s="78" t="inlineStr">
        <is>
          <t>-</t>
        </is>
      </c>
      <c r="U74" s="78" t="inlineStr">
        <is>
          <t>-</t>
        </is>
      </c>
      <c r="V74" s="132" t="inlineStr">
        <is>
          <t>—</t>
        </is>
      </c>
      <c r="W74" s="132" t="inlineStr">
        <is>
          <t>—</t>
        </is>
      </c>
      <c r="X74" s="132" t="inlineStr">
        <is>
          <t>—</t>
        </is>
      </c>
      <c r="Y74" s="133" t="inlineStr">
        <is>
          <t>—</t>
        </is>
      </c>
      <c r="Z74" s="132" t="inlineStr">
        <is>
          <t>—</t>
        </is>
      </c>
      <c r="AA74" s="134" t="inlineStr">
        <is>
          <t>—</t>
        </is>
      </c>
      <c r="AB74" s="134" t="inlineStr">
        <is>
          <t>—</t>
        </is>
      </c>
      <c r="AC74" s="132" t="inlineStr">
        <is>
          <t>—</t>
        </is>
      </c>
      <c r="AD74" s="132" t="inlineStr">
        <is>
          <t>—</t>
        </is>
      </c>
      <c r="AE74" s="128">
        <f>AVERAGE(G74,H74)</f>
        <v/>
      </c>
      <c r="AF74" s="129" t="inlineStr">
        <is>
          <t>No bidder data; SME only</t>
        </is>
      </c>
      <c r="AG74" s="130" t="inlineStr">
        <is>
          <t>no match</t>
        </is>
      </c>
      <c r="AH74" s="127">
        <f>IFERROR((AB74-AE74)/AE74,"—")</f>
        <v/>
      </c>
      <c r="AI74" s="127">
        <f>IFERROR((S74-AE74)/AE74,"—")</f>
        <v/>
      </c>
      <c r="AJ74" s="131" t="inlineStr">
        <is>
          <t>—</t>
        </is>
      </c>
    </row>
    <row r="75" ht="27.75" customHeight="1" s="56">
      <c r="A75" s="78" t="n"/>
      <c r="B75" s="78" t="inlineStr">
        <is>
          <t>C-70-008</t>
        </is>
      </c>
      <c r="C75" s="59" t="inlineStr">
        <is>
          <t>Metal roof deck 22ga 76mm - supply+erect</t>
        </is>
      </c>
      <c r="D75" s="78" t="inlineStr">
        <is>
          <t>m2</t>
        </is>
      </c>
      <c r="E75" s="79" t="n">
        <v>294</v>
      </c>
      <c r="F75" s="79" t="n">
        <v>399</v>
      </c>
      <c r="G75" s="79" t="n">
        <v>282</v>
      </c>
      <c r="H75" s="79" t="n">
        <v>388</v>
      </c>
      <c r="I75" s="80" t="n">
        <v>326</v>
      </c>
      <c r="J75" s="80" t="n">
        <v>448</v>
      </c>
      <c r="K75" s="80" t="n">
        <v>320</v>
      </c>
      <c r="L75" s="80" t="n">
        <v>410</v>
      </c>
      <c r="M75" s="81" t="n">
        <v>336</v>
      </c>
      <c r="N75" s="81" t="n">
        <v>513</v>
      </c>
      <c r="O75" s="81" t="n">
        <v>352</v>
      </c>
      <c r="P75" s="81" t="n">
        <v>494</v>
      </c>
      <c r="Q75" s="82" t="n">
        <v>416</v>
      </c>
      <c r="R75" s="82" t="n">
        <v>589</v>
      </c>
      <c r="S75" s="78" t="inlineStr">
        <is>
          <t>-</t>
        </is>
      </c>
      <c r="T75" s="78" t="inlineStr">
        <is>
          <t>-</t>
        </is>
      </c>
      <c r="U75" s="78" t="inlineStr">
        <is>
          <t>-</t>
        </is>
      </c>
      <c r="V75" s="132" t="inlineStr">
        <is>
          <t>—</t>
        </is>
      </c>
      <c r="W75" s="132" t="inlineStr">
        <is>
          <t>—</t>
        </is>
      </c>
      <c r="X75" s="132" t="inlineStr">
        <is>
          <t>—</t>
        </is>
      </c>
      <c r="Y75" s="133" t="inlineStr">
        <is>
          <t>—</t>
        </is>
      </c>
      <c r="Z75" s="132" t="inlineStr">
        <is>
          <t>—</t>
        </is>
      </c>
      <c r="AA75" s="134" t="inlineStr">
        <is>
          <t>—</t>
        </is>
      </c>
      <c r="AB75" s="134" t="inlineStr">
        <is>
          <t>—</t>
        </is>
      </c>
      <c r="AC75" s="132" t="inlineStr">
        <is>
          <t>—</t>
        </is>
      </c>
      <c r="AD75" s="132" t="inlineStr">
        <is>
          <t>—</t>
        </is>
      </c>
      <c r="AE75" s="128">
        <f>AVERAGE(G75,H75)</f>
        <v/>
      </c>
      <c r="AF75" s="129" t="inlineStr">
        <is>
          <t>No bidder data; SME only</t>
        </is>
      </c>
      <c r="AG75" s="130" t="inlineStr">
        <is>
          <t>no match</t>
        </is>
      </c>
      <c r="AH75" s="127">
        <f>IFERROR((AB75-AE75)/AE75,"—")</f>
        <v/>
      </c>
      <c r="AI75" s="127">
        <f>IFERROR((S75-AE75)/AE75,"—")</f>
        <v/>
      </c>
      <c r="AJ75" s="131" t="inlineStr">
        <is>
          <t>—</t>
        </is>
      </c>
    </row>
    <row r="76" ht="27.75" customHeight="1" s="56">
      <c r="A76" s="78" t="n"/>
      <c r="B76" s="78" t="inlineStr">
        <is>
          <t>C-70-007</t>
        </is>
      </c>
      <c r="C76" s="59" t="inlineStr">
        <is>
          <t>Stairs - stringers and treads</t>
        </is>
      </c>
      <c r="D76" s="78" t="inlineStr">
        <is>
          <t>m</t>
        </is>
      </c>
      <c r="E76" s="79" t="n">
        <v>497</v>
      </c>
      <c r="F76" s="79" t="n">
        <v>651</v>
      </c>
      <c r="G76" s="79" t="n">
        <v>475</v>
      </c>
      <c r="H76" s="79" t="n">
        <v>632</v>
      </c>
      <c r="I76" s="80" t="n">
        <v>551</v>
      </c>
      <c r="J76" s="80" t="n">
        <v>732</v>
      </c>
      <c r="K76" s="80" t="n">
        <v>540</v>
      </c>
      <c r="L76" s="80" t="n">
        <v>670</v>
      </c>
      <c r="M76" s="81" t="n">
        <v>567</v>
      </c>
      <c r="N76" s="81" t="n">
        <v>837</v>
      </c>
      <c r="O76" s="81" t="n">
        <v>594</v>
      </c>
      <c r="P76" s="81" t="n">
        <v>806</v>
      </c>
      <c r="Q76" s="82" t="n">
        <v>702</v>
      </c>
      <c r="R76" s="82" t="n">
        <v>961</v>
      </c>
      <c r="S76" s="78" t="inlineStr">
        <is>
          <t>-</t>
        </is>
      </c>
      <c r="T76" s="78" t="inlineStr">
        <is>
          <t>-</t>
        </is>
      </c>
      <c r="U76" s="78" t="inlineStr">
        <is>
          <t>-</t>
        </is>
      </c>
      <c r="V76" s="132" t="inlineStr">
        <is>
          <t>—</t>
        </is>
      </c>
      <c r="W76" s="132" t="inlineStr">
        <is>
          <t>—</t>
        </is>
      </c>
      <c r="X76" s="132" t="inlineStr">
        <is>
          <t>—</t>
        </is>
      </c>
      <c r="Y76" s="133" t="inlineStr">
        <is>
          <t>—</t>
        </is>
      </c>
      <c r="Z76" s="132" t="inlineStr">
        <is>
          <t>—</t>
        </is>
      </c>
      <c r="AA76" s="134" t="inlineStr">
        <is>
          <t>—</t>
        </is>
      </c>
      <c r="AB76" s="134" t="inlineStr">
        <is>
          <t>—</t>
        </is>
      </c>
      <c r="AC76" s="132" t="inlineStr">
        <is>
          <t>—</t>
        </is>
      </c>
      <c r="AD76" s="132" t="inlineStr">
        <is>
          <t>—</t>
        </is>
      </c>
      <c r="AE76" s="128">
        <f>AVERAGE(G76,H76)</f>
        <v/>
      </c>
      <c r="AF76" s="129" t="inlineStr">
        <is>
          <t>No bidder data; SME only</t>
        </is>
      </c>
      <c r="AG76" s="130" t="inlineStr">
        <is>
          <t>no match</t>
        </is>
      </c>
      <c r="AH76" s="127">
        <f>IFERROR((AB76-AE76)/AE76,"—")</f>
        <v/>
      </c>
      <c r="AI76" s="127">
        <f>IFERROR((S76-AE76)/AE76,"—")</f>
        <v/>
      </c>
      <c r="AJ76" s="131" t="inlineStr">
        <is>
          <t>—</t>
        </is>
      </c>
    </row>
    <row r="77" ht="27.75" customHeight="1" s="56">
      <c r="A77" s="78" t="n"/>
      <c r="B77" s="78" t="inlineStr">
        <is>
          <t>C-70-003</t>
        </is>
      </c>
      <c r="C77" s="59" t="inlineStr">
        <is>
          <t>Steel beams heavy 66-125 kg/m - supply+erect</t>
        </is>
      </c>
      <c r="D77" s="78" t="inlineStr">
        <is>
          <t>tonne</t>
        </is>
      </c>
      <c r="E77" s="79" t="n">
        <v>6900</v>
      </c>
      <c r="F77" s="79" t="n">
        <v>8925</v>
      </c>
      <c r="G77" s="79" t="n">
        <v>6600</v>
      </c>
      <c r="H77" s="79" t="n">
        <v>8670</v>
      </c>
      <c r="I77" s="80" t="n">
        <v>7650</v>
      </c>
      <c r="J77" s="80" t="n">
        <v>10030</v>
      </c>
      <c r="K77" s="80" t="n">
        <v>7500</v>
      </c>
      <c r="L77" s="80" t="n">
        <v>9180</v>
      </c>
      <c r="M77" s="81" t="n">
        <v>7875</v>
      </c>
      <c r="N77" s="81" t="n">
        <v>11475</v>
      </c>
      <c r="O77" s="81" t="n">
        <v>8250</v>
      </c>
      <c r="P77" s="81" t="n">
        <v>11050</v>
      </c>
      <c r="Q77" s="82" t="n">
        <v>9750</v>
      </c>
      <c r="R77" s="82" t="n">
        <v>13175</v>
      </c>
      <c r="S77" s="83" t="n">
        <v>6592.80087287208</v>
      </c>
      <c r="T77" s="78" t="inlineStr">
        <is>
          <t>-</t>
        </is>
      </c>
      <c r="U77" s="78" t="inlineStr">
        <is>
          <t>-</t>
        </is>
      </c>
      <c r="V77" s="135" t="inlineStr">
        <is>
          <t>—</t>
        </is>
      </c>
      <c r="W77" s="135" t="inlineStr">
        <is>
          <t>—</t>
        </is>
      </c>
      <c r="X77" s="135" t="inlineStr">
        <is>
          <t>—</t>
        </is>
      </c>
      <c r="Y77" s="133" t="inlineStr">
        <is>
          <t>—</t>
        </is>
      </c>
      <c r="Z77" s="132" t="inlineStr">
        <is>
          <t>—</t>
        </is>
      </c>
      <c r="AA77" s="134" t="inlineStr">
        <is>
          <t>—</t>
        </is>
      </c>
      <c r="AB77" s="134" t="inlineStr">
        <is>
          <t>—</t>
        </is>
      </c>
      <c r="AC77" s="132" t="inlineStr">
        <is>
          <t>—</t>
        </is>
      </c>
      <c r="AD77" s="132" t="inlineStr">
        <is>
          <t>—</t>
        </is>
      </c>
      <c r="AE77" s="128">
        <f>AVERAGE(G77,H77)</f>
        <v/>
      </c>
      <c r="AF77" s="129" t="inlineStr">
        <is>
          <t>No bidder data; SME only</t>
        </is>
      </c>
      <c r="AG77" s="130" t="inlineStr">
        <is>
          <t>no match</t>
        </is>
      </c>
      <c r="AH77" s="127">
        <f>IFERROR((AB77-AE77)/AE77,"—")</f>
        <v/>
      </c>
      <c r="AI77" s="127">
        <f>IFERROR((S77-AE77)/AE77,"—")</f>
        <v/>
      </c>
      <c r="AJ77" s="131" t="inlineStr">
        <is>
          <t>—</t>
        </is>
      </c>
    </row>
    <row r="78" ht="27.75" customHeight="1" s="56">
      <c r="A78" s="78" t="n"/>
      <c r="B78" s="78" t="inlineStr">
        <is>
          <t>C-70-002</t>
        </is>
      </c>
      <c r="C78" s="59" t="inlineStr">
        <is>
          <t>Steel beams medium 26-65 kg/m - supply+erect</t>
        </is>
      </c>
      <c r="D78" s="78" t="inlineStr">
        <is>
          <t>tonne</t>
        </is>
      </c>
      <c r="E78" s="79" t="n">
        <v>7360</v>
      </c>
      <c r="F78" s="79" t="n">
        <v>9450</v>
      </c>
      <c r="G78" s="79" t="n">
        <v>7040</v>
      </c>
      <c r="H78" s="79" t="n">
        <v>9180</v>
      </c>
      <c r="I78" s="80" t="n">
        <v>8160</v>
      </c>
      <c r="J78" s="80" t="n">
        <v>10620</v>
      </c>
      <c r="K78" s="80" t="n">
        <v>8000</v>
      </c>
      <c r="L78" s="80" t="n">
        <v>9720</v>
      </c>
      <c r="M78" s="81" t="n">
        <v>8400</v>
      </c>
      <c r="N78" s="81" t="n">
        <v>12150</v>
      </c>
      <c r="O78" s="81" t="n">
        <v>8800</v>
      </c>
      <c r="P78" s="81" t="n">
        <v>11700</v>
      </c>
      <c r="Q78" s="82" t="n">
        <v>10400</v>
      </c>
      <c r="R78" s="82" t="n">
        <v>13950</v>
      </c>
      <c r="S78" s="83" t="n">
        <v>7443.55016382944</v>
      </c>
      <c r="T78" s="78" t="inlineStr">
        <is>
          <t>-</t>
        </is>
      </c>
      <c r="U78" s="78" t="inlineStr">
        <is>
          <t>-</t>
        </is>
      </c>
      <c r="V78" s="132" t="inlineStr">
        <is>
          <t>—</t>
        </is>
      </c>
      <c r="W78" s="132" t="inlineStr">
        <is>
          <t>—</t>
        </is>
      </c>
      <c r="X78" s="132" t="inlineStr">
        <is>
          <t>—</t>
        </is>
      </c>
      <c r="Y78" s="123" t="n">
        <v>18</v>
      </c>
      <c r="Z78" s="132" t="inlineStr">
        <is>
          <t>—</t>
        </is>
      </c>
      <c r="AA78" s="134" t="inlineStr">
        <is>
          <t>—</t>
        </is>
      </c>
      <c r="AB78" s="125">
        <f>MEDIAN(V78:Z78)</f>
        <v/>
      </c>
      <c r="AC78" s="132" t="inlineStr">
        <is>
          <t>—</t>
        </is>
      </c>
      <c r="AD78" s="132" t="inlineStr">
        <is>
          <t>—</t>
        </is>
      </c>
      <c r="AE78" s="128">
        <f>AVERAGE(G78,H78)</f>
        <v/>
      </c>
      <c r="AF78" s="129" t="inlineStr">
        <is>
          <t>Only 1/5 bidders priced — limited market signal</t>
        </is>
      </c>
      <c r="AG78" s="130" t="inlineStr">
        <is>
          <t>category-fallback</t>
        </is>
      </c>
      <c r="AH78" s="127">
        <f>IFERROR((AB78-AE78)/AE78,"—")</f>
        <v/>
      </c>
      <c r="AI78" s="127">
        <f>IFERROR((S78-AE78)/AE78,"—")</f>
        <v/>
      </c>
      <c r="AJ78" s="131" t="inlineStr">
        <is>
          <t>—</t>
        </is>
      </c>
    </row>
    <row r="79" ht="27.75" customHeight="1" s="56">
      <c r="A79" s="78" t="n"/>
      <c r="B79" s="78" t="inlineStr">
        <is>
          <t>C-70-004</t>
        </is>
      </c>
      <c r="C79" s="59" t="inlineStr">
        <is>
          <t>Steel columns extra-heavy - supply+erect</t>
        </is>
      </c>
      <c r="D79" s="78" t="inlineStr">
        <is>
          <t>tonne</t>
        </is>
      </c>
      <c r="E79" s="79" t="n">
        <v>7360</v>
      </c>
      <c r="F79" s="79" t="n">
        <v>9450</v>
      </c>
      <c r="G79" s="79" t="n">
        <v>7040</v>
      </c>
      <c r="H79" s="79" t="n">
        <v>9180</v>
      </c>
      <c r="I79" s="80" t="n">
        <v>8160</v>
      </c>
      <c r="J79" s="80" t="n">
        <v>10620</v>
      </c>
      <c r="K79" s="80" t="n">
        <v>8000</v>
      </c>
      <c r="L79" s="80" t="n">
        <v>9720</v>
      </c>
      <c r="M79" s="81" t="n">
        <v>8400</v>
      </c>
      <c r="N79" s="81" t="n">
        <v>12150</v>
      </c>
      <c r="O79" s="81" t="n">
        <v>8800</v>
      </c>
      <c r="P79" s="81" t="n">
        <v>11700</v>
      </c>
      <c r="Q79" s="82" t="n">
        <v>10400</v>
      </c>
      <c r="R79" s="82" t="n">
        <v>13950</v>
      </c>
      <c r="S79" s="83" t="n">
        <v>6510.13838204746</v>
      </c>
      <c r="T79" s="78" t="inlineStr">
        <is>
          <t>-</t>
        </is>
      </c>
      <c r="U79" s="78" t="inlineStr">
        <is>
          <t>-</t>
        </is>
      </c>
      <c r="V79" s="135" t="inlineStr">
        <is>
          <t>—</t>
        </is>
      </c>
      <c r="W79" s="135" t="inlineStr">
        <is>
          <t>—</t>
        </is>
      </c>
      <c r="X79" s="135" t="inlineStr">
        <is>
          <t>—</t>
        </is>
      </c>
      <c r="Y79" s="133" t="inlineStr">
        <is>
          <t>—</t>
        </is>
      </c>
      <c r="Z79" s="132" t="inlineStr">
        <is>
          <t>—</t>
        </is>
      </c>
      <c r="AA79" s="134" t="inlineStr">
        <is>
          <t>—</t>
        </is>
      </c>
      <c r="AB79" s="134" t="inlineStr">
        <is>
          <t>—</t>
        </is>
      </c>
      <c r="AC79" s="132" t="inlineStr">
        <is>
          <t>—</t>
        </is>
      </c>
      <c r="AD79" s="132" t="inlineStr">
        <is>
          <t>—</t>
        </is>
      </c>
      <c r="AE79" s="128">
        <f>AVERAGE(G79,H79)</f>
        <v/>
      </c>
      <c r="AF79" s="129" t="inlineStr">
        <is>
          <t>No bidder data; SME only</t>
        </is>
      </c>
      <c r="AG79" s="130" t="inlineStr">
        <is>
          <t>no match</t>
        </is>
      </c>
      <c r="AH79" s="127">
        <f>IFERROR((AB79-AE79)/AE79,"—")</f>
        <v/>
      </c>
      <c r="AI79" s="127">
        <f>IFERROR((S79-AE79)/AE79,"—")</f>
        <v/>
      </c>
      <c r="AJ79" s="131" t="inlineStr">
        <is>
          <t>—</t>
        </is>
      </c>
    </row>
    <row r="80" ht="27.75" customHeight="1" s="56">
      <c r="A80" s="78" t="n"/>
      <c r="B80" s="78" t="inlineStr">
        <is>
          <t>C-70-005</t>
        </is>
      </c>
      <c r="C80" s="59" t="inlineStr">
        <is>
          <t>Steel grating 32x4.8mm - supply+install</t>
        </is>
      </c>
      <c r="D80" s="78" t="inlineStr">
        <is>
          <t>m2</t>
        </is>
      </c>
      <c r="E80" s="79" t="n">
        <v>607</v>
      </c>
      <c r="F80" s="79" t="n">
        <v>788</v>
      </c>
      <c r="G80" s="79" t="n">
        <v>581</v>
      </c>
      <c r="H80" s="79" t="n">
        <v>765</v>
      </c>
      <c r="I80" s="80" t="n">
        <v>673</v>
      </c>
      <c r="J80" s="80" t="n">
        <v>885</v>
      </c>
      <c r="K80" s="80" t="n">
        <v>660</v>
      </c>
      <c r="L80" s="80" t="n">
        <v>810</v>
      </c>
      <c r="M80" s="81" t="n">
        <v>693</v>
      </c>
      <c r="N80" s="81" t="n">
        <v>1013</v>
      </c>
      <c r="O80" s="81" t="n">
        <v>726</v>
      </c>
      <c r="P80" s="81" t="n">
        <v>975</v>
      </c>
      <c r="Q80" s="82" t="n">
        <v>858</v>
      </c>
      <c r="R80" s="82" t="n">
        <v>1162</v>
      </c>
      <c r="S80" s="83" t="n">
        <v>1000</v>
      </c>
      <c r="T80" s="78" t="inlineStr">
        <is>
          <t>-</t>
        </is>
      </c>
      <c r="U80" s="78" t="inlineStr">
        <is>
          <t>-</t>
        </is>
      </c>
      <c r="V80" s="135" t="inlineStr">
        <is>
          <t>—</t>
        </is>
      </c>
      <c r="W80" s="135" t="inlineStr">
        <is>
          <t>—</t>
        </is>
      </c>
      <c r="X80" s="135" t="inlineStr">
        <is>
          <t>—</t>
        </is>
      </c>
      <c r="Y80" s="133" t="inlineStr">
        <is>
          <t>—</t>
        </is>
      </c>
      <c r="Z80" s="132" t="inlineStr">
        <is>
          <t>—</t>
        </is>
      </c>
      <c r="AA80" s="134" t="inlineStr">
        <is>
          <t>—</t>
        </is>
      </c>
      <c r="AB80" s="134" t="inlineStr">
        <is>
          <t>—</t>
        </is>
      </c>
      <c r="AC80" s="132" t="inlineStr">
        <is>
          <t>—</t>
        </is>
      </c>
      <c r="AD80" s="132" t="inlineStr">
        <is>
          <t>—</t>
        </is>
      </c>
      <c r="AE80" s="128">
        <f>AVERAGE(G80,H80)</f>
        <v/>
      </c>
      <c r="AF80" s="129" t="inlineStr">
        <is>
          <t>No bidder data; SME only</t>
        </is>
      </c>
      <c r="AG80" s="130" t="inlineStr">
        <is>
          <t>no match</t>
        </is>
      </c>
      <c r="AH80" s="127">
        <f>IFERROR((AB80-AE80)/AE80,"—")</f>
        <v/>
      </c>
      <c r="AI80" s="127">
        <f>IFERROR((S80-AE80)/AE80,"—")</f>
        <v/>
      </c>
      <c r="AJ80" s="131" t="inlineStr">
        <is>
          <t>—</t>
        </is>
      </c>
    </row>
    <row r="81" ht="19.5" customHeight="1" s="56">
      <c r="A81" s="77" t="inlineStr">
        <is>
          <t>H. Closure</t>
        </is>
      </c>
    </row>
    <row r="82" ht="27.75" customHeight="1" s="56">
      <c r="A82" s="78" t="n"/>
      <c r="B82" s="78" t="inlineStr">
        <is>
          <t>C-80-003</t>
        </is>
      </c>
      <c r="C82" s="59" t="inlineStr">
        <is>
          <t>Cover system compacted clay 600mm</t>
        </is>
      </c>
      <c r="D82" s="78" t="inlineStr">
        <is>
          <t>m3</t>
        </is>
      </c>
      <c r="E82" s="79" t="n">
        <v>53</v>
      </c>
      <c r="F82" s="79" t="n">
        <v>100</v>
      </c>
      <c r="G82" s="79" t="n">
        <v>51</v>
      </c>
      <c r="H82" s="79" t="n">
        <v>97</v>
      </c>
      <c r="I82" s="80" t="n">
        <v>59</v>
      </c>
      <c r="J82" s="80" t="n">
        <v>112</v>
      </c>
      <c r="K82" s="80" t="n">
        <v>58</v>
      </c>
      <c r="L82" s="80" t="n">
        <v>103</v>
      </c>
      <c r="M82" s="81" t="n">
        <v>61</v>
      </c>
      <c r="N82" s="81" t="n">
        <v>128</v>
      </c>
      <c r="O82" s="81" t="n">
        <v>64</v>
      </c>
      <c r="P82" s="81" t="n">
        <v>124</v>
      </c>
      <c r="Q82" s="82" t="n">
        <v>75</v>
      </c>
      <c r="R82" s="82" t="n">
        <v>147</v>
      </c>
      <c r="S82" s="78" t="inlineStr">
        <is>
          <t>-</t>
        </is>
      </c>
      <c r="T82" s="78" t="inlineStr">
        <is>
          <t>-</t>
        </is>
      </c>
      <c r="U82" s="78" t="inlineStr">
        <is>
          <t>-</t>
        </is>
      </c>
      <c r="V82" s="123" t="n">
        <v>10.07</v>
      </c>
      <c r="W82" s="123" t="n">
        <v>50.86</v>
      </c>
      <c r="X82" s="123" t="n">
        <v>10.55</v>
      </c>
      <c r="Y82" s="123" t="n">
        <v>12.44</v>
      </c>
      <c r="Z82" s="123" t="n">
        <v>14.25</v>
      </c>
      <c r="AA82" s="124">
        <f>MIN(V82:Z82)</f>
        <v/>
      </c>
      <c r="AB82" s="125">
        <f>MEDIAN(V82:Z82)</f>
        <v/>
      </c>
      <c r="AC82" s="126">
        <f>MAX(V82:Z82)</f>
        <v/>
      </c>
      <c r="AD82" s="127">
        <f>IFERROR((AC82-AA82)/AB82,"—")</f>
        <v/>
      </c>
      <c r="AE82" s="128">
        <f>AVERAGE(G82,H82)</f>
        <v/>
      </c>
      <c r="AF82" s="129" t="inlineStr">
        <is>
          <t>OK — sources align</t>
        </is>
      </c>
      <c r="AG82" s="130" t="inlineStr">
        <is>
          <t>size-matched</t>
        </is>
      </c>
      <c r="AH82" s="127">
        <f>IFERROR((AB82-AE82)/AE82,"—")</f>
        <v/>
      </c>
      <c r="AI82" s="127">
        <f>IFERROR((S82-AE82)/AE82,"—")</f>
        <v/>
      </c>
      <c r="AJ82" s="131">
        <f>IF(AD82&gt;1, "⚠ HIGH SPREAD", IF(ABS(AH82)&gt;0.5, "⚠ DELTA", "OK"))</f>
        <v/>
      </c>
    </row>
    <row r="83" ht="27.75" customHeight="1" s="56">
      <c r="A83" s="78" t="n"/>
      <c r="B83" s="78" t="inlineStr">
        <is>
          <t>C-80-005</t>
        </is>
      </c>
      <c r="C83" s="59" t="inlineStr">
        <is>
          <t>HDPE cap liner 2mm - supply+install+CQA</t>
        </is>
      </c>
      <c r="D83" s="78" t="inlineStr">
        <is>
          <t>m2</t>
        </is>
      </c>
      <c r="E83" s="79" t="n">
        <v>28</v>
      </c>
      <c r="F83" s="79" t="n">
        <v>50</v>
      </c>
      <c r="G83" s="79" t="n">
        <v>26</v>
      </c>
      <c r="H83" s="79" t="n">
        <v>49</v>
      </c>
      <c r="I83" s="80" t="n">
        <v>31</v>
      </c>
      <c r="J83" s="80" t="n">
        <v>57</v>
      </c>
      <c r="K83" s="80" t="n">
        <v>30</v>
      </c>
      <c r="L83" s="80" t="n">
        <v>52</v>
      </c>
      <c r="M83" s="81" t="n">
        <v>32</v>
      </c>
      <c r="N83" s="81" t="n">
        <v>65</v>
      </c>
      <c r="O83" s="81" t="n">
        <v>33</v>
      </c>
      <c r="P83" s="81" t="n">
        <v>62</v>
      </c>
      <c r="Q83" s="82" t="n">
        <v>39</v>
      </c>
      <c r="R83" s="82" t="n">
        <v>74</v>
      </c>
      <c r="S83" s="83" t="n">
        <v>13</v>
      </c>
      <c r="T83" s="78" t="inlineStr">
        <is>
          <t>-</t>
        </is>
      </c>
      <c r="U83" s="78" t="inlineStr">
        <is>
          <t>-</t>
        </is>
      </c>
      <c r="V83" s="123" t="n">
        <v>30.6</v>
      </c>
      <c r="W83" s="123" t="n">
        <v>36.27</v>
      </c>
      <c r="X83" s="123" t="n">
        <v>19.18</v>
      </c>
      <c r="Y83" s="123" t="n">
        <v>2.3</v>
      </c>
      <c r="Z83" s="123" t="n">
        <v>20</v>
      </c>
      <c r="AA83" s="124">
        <f>MIN(V83:Z83)</f>
        <v/>
      </c>
      <c r="AB83" s="125">
        <f>MEDIAN(V83:Z83)</f>
        <v/>
      </c>
      <c r="AC83" s="126">
        <f>MAX(V83:Z83)</f>
        <v/>
      </c>
      <c r="AD83" s="127">
        <f>IFERROR((AC83-AA83)/AB83,"—")</f>
        <v/>
      </c>
      <c r="AE83" s="128">
        <f>AVERAGE(G83,H83)</f>
        <v/>
      </c>
      <c r="AF83" s="129" t="inlineStr">
        <is>
          <t>OK — sources align</t>
        </is>
      </c>
      <c r="AG83" s="130" t="inlineStr">
        <is>
          <t>category-fallback; keyword-matched</t>
        </is>
      </c>
      <c r="AH83" s="127">
        <f>IFERROR((AB83-AE83)/AE83,"—")</f>
        <v/>
      </c>
      <c r="AI83" s="127">
        <f>IFERROR((S83-AE83)/AE83,"—")</f>
        <v/>
      </c>
      <c r="AJ83" s="131">
        <f>IF(AD83&gt;1, "⚠ HIGH SPREAD", IF(ABS(AH83)&gt;0.5, "⚠ DELTA", "OK"))</f>
        <v/>
      </c>
    </row>
    <row r="84" ht="27.75" customHeight="1" s="56">
      <c r="A84" s="78" t="n"/>
      <c r="B84" s="78" t="inlineStr">
        <is>
          <t>C-80-002</t>
        </is>
      </c>
      <c r="C84" s="59" t="inlineStr">
        <is>
          <t>Riprap closure cap D50 300mm - supply+place</t>
        </is>
      </c>
      <c r="D84" s="78" t="inlineStr">
        <is>
          <t>m3</t>
        </is>
      </c>
      <c r="E84" s="79" t="n">
        <v>83</v>
      </c>
      <c r="F84" s="79" t="n">
        <v>158</v>
      </c>
      <c r="G84" s="79" t="n">
        <v>79</v>
      </c>
      <c r="H84" s="79" t="n">
        <v>153</v>
      </c>
      <c r="I84" s="80" t="n">
        <v>92</v>
      </c>
      <c r="J84" s="80" t="n">
        <v>177</v>
      </c>
      <c r="K84" s="80" t="n">
        <v>90</v>
      </c>
      <c r="L84" s="80" t="n">
        <v>162</v>
      </c>
      <c r="M84" s="81" t="n">
        <v>94</v>
      </c>
      <c r="N84" s="81" t="n">
        <v>202</v>
      </c>
      <c r="O84" s="81" t="n">
        <v>99</v>
      </c>
      <c r="P84" s="81" t="n">
        <v>195</v>
      </c>
      <c r="Q84" s="82" t="n">
        <v>117</v>
      </c>
      <c r="R84" s="82" t="n">
        <v>232</v>
      </c>
      <c r="S84" s="83" t="n">
        <v>82899.87266943909</v>
      </c>
      <c r="T84" s="78" t="inlineStr">
        <is>
          <t>-</t>
        </is>
      </c>
      <c r="U84" s="78" t="inlineStr">
        <is>
          <t>-</t>
        </is>
      </c>
      <c r="V84" s="123" t="n">
        <v>35.25</v>
      </c>
      <c r="W84" s="123" t="n">
        <v>51.94</v>
      </c>
      <c r="X84" s="123" t="n">
        <v>11.42</v>
      </c>
      <c r="Y84" s="123" t="n">
        <v>12.44</v>
      </c>
      <c r="Z84" s="123" t="n">
        <v>40</v>
      </c>
      <c r="AA84" s="124">
        <f>MIN(V84:Z84)</f>
        <v/>
      </c>
      <c r="AB84" s="125">
        <f>MEDIAN(V84:Z84)</f>
        <v/>
      </c>
      <c r="AC84" s="126">
        <f>MAX(V84:Z84)</f>
        <v/>
      </c>
      <c r="AD84" s="127">
        <f>IFERROR((AC84-AA84)/AB84,"—")</f>
        <v/>
      </c>
      <c r="AE84" s="128">
        <f>AVERAGE(G84,H84)</f>
        <v/>
      </c>
      <c r="AF84" s="129" t="inlineStr">
        <is>
          <t>OK — sources align</t>
        </is>
      </c>
      <c r="AG84" s="130" t="inlineStr">
        <is>
          <t>size-matched</t>
        </is>
      </c>
      <c r="AH84" s="127">
        <f>IFERROR((AB84-AE84)/AE84,"—")</f>
        <v/>
      </c>
      <c r="AI84" s="127">
        <f>IFERROR((S84-AE84)/AE84,"—")</f>
        <v/>
      </c>
      <c r="AJ84" s="131">
        <f>IF(AD84&gt;1, "⚠ HIGH SPREAD", IF(ABS(AH84)&gt;0.5, "⚠ DELTA", "OK"))</f>
        <v/>
      </c>
    </row>
    <row r="85" ht="27.75" customHeight="1" s="56">
      <c r="A85" s="78" t="n"/>
      <c r="B85" s="78" t="inlineStr">
        <is>
          <t>C-80-004</t>
        </is>
      </c>
      <c r="C85" s="59" t="inlineStr">
        <is>
          <t>Topsoil replacement - spread+seed</t>
        </is>
      </c>
      <c r="D85" s="78" t="inlineStr">
        <is>
          <t>m2</t>
        </is>
      </c>
      <c r="E85" s="79" t="n">
        <v>5</v>
      </c>
      <c r="F85" s="79" t="n">
        <v>13</v>
      </c>
      <c r="G85" s="79" t="n">
        <v>4</v>
      </c>
      <c r="H85" s="79" t="n">
        <v>12</v>
      </c>
      <c r="I85" s="80" t="n">
        <v>5</v>
      </c>
      <c r="J85" s="80" t="n">
        <v>14</v>
      </c>
      <c r="K85" s="80" t="n">
        <v>5</v>
      </c>
      <c r="L85" s="80" t="n">
        <v>13</v>
      </c>
      <c r="M85" s="81" t="n">
        <v>5</v>
      </c>
      <c r="N85" s="81" t="n">
        <v>16</v>
      </c>
      <c r="O85" s="81" t="n">
        <v>6</v>
      </c>
      <c r="P85" s="81" t="n">
        <v>16</v>
      </c>
      <c r="Q85" s="82" t="n">
        <v>6</v>
      </c>
      <c r="R85" s="82" t="n">
        <v>19</v>
      </c>
      <c r="S85" s="83" t="n">
        <v>30000</v>
      </c>
      <c r="T85" s="78" t="inlineStr">
        <is>
          <t>-</t>
        </is>
      </c>
      <c r="U85" s="78" t="inlineStr">
        <is>
          <t>-</t>
        </is>
      </c>
      <c r="V85" s="132" t="inlineStr">
        <is>
          <t>—</t>
        </is>
      </c>
      <c r="W85" s="132" t="inlineStr">
        <is>
          <t>—</t>
        </is>
      </c>
      <c r="X85" s="132" t="inlineStr">
        <is>
          <t>—</t>
        </is>
      </c>
      <c r="Y85" s="133" t="inlineStr">
        <is>
          <t>—</t>
        </is>
      </c>
      <c r="Z85" s="132" t="inlineStr">
        <is>
          <t>—</t>
        </is>
      </c>
      <c r="AA85" s="134" t="inlineStr">
        <is>
          <t>—</t>
        </is>
      </c>
      <c r="AB85" s="134" t="inlineStr">
        <is>
          <t>—</t>
        </is>
      </c>
      <c r="AC85" s="132" t="inlineStr">
        <is>
          <t>—</t>
        </is>
      </c>
      <c r="AD85" s="132" t="inlineStr">
        <is>
          <t>—</t>
        </is>
      </c>
      <c r="AE85" s="128">
        <f>AVERAGE(G85,H85)</f>
        <v/>
      </c>
      <c r="AF85" s="129" t="inlineStr">
        <is>
          <t>No bidder data; SME only</t>
        </is>
      </c>
      <c r="AG85" s="130" t="inlineStr">
        <is>
          <t>no match</t>
        </is>
      </c>
      <c r="AH85" s="127">
        <f>IFERROR((AB85-AE85)/AE85,"—")</f>
        <v/>
      </c>
      <c r="AI85" s="127">
        <f>IFERROR((S85-AE85)/AE85,"—")</f>
        <v/>
      </c>
      <c r="AJ85" s="131" t="inlineStr">
        <is>
          <t>—</t>
        </is>
      </c>
    </row>
    <row r="86" ht="19.5" customHeight="1" s="56">
      <c r="A86" s="77" t="inlineStr">
        <is>
          <t>I. Blasting</t>
        </is>
      </c>
    </row>
    <row r="87" ht="27.75" customHeight="1" s="56">
      <c r="A87" s="78" t="n"/>
      <c r="B87" s="78" t="inlineStr">
        <is>
          <t>B-01-004</t>
        </is>
      </c>
      <c r="C87" s="59" t="inlineStr">
        <is>
          <t>Controlled blasting near structures - presplit</t>
        </is>
      </c>
      <c r="D87" s="78" t="inlineStr">
        <is>
          <t>m</t>
        </is>
      </c>
      <c r="E87" s="79" t="n">
        <v>51</v>
      </c>
      <c r="F87" s="79" t="n">
        <v>100</v>
      </c>
      <c r="G87" s="79" t="n">
        <v>48</v>
      </c>
      <c r="H87" s="79" t="n">
        <v>97</v>
      </c>
      <c r="I87" s="80" t="n">
        <v>56</v>
      </c>
      <c r="J87" s="80" t="n">
        <v>112</v>
      </c>
      <c r="K87" s="80" t="n">
        <v>55</v>
      </c>
      <c r="L87" s="80" t="n">
        <v>103</v>
      </c>
      <c r="M87" s="81" t="n">
        <v>58</v>
      </c>
      <c r="N87" s="81" t="n">
        <v>128</v>
      </c>
      <c r="O87" s="81" t="n">
        <v>61</v>
      </c>
      <c r="P87" s="81" t="n">
        <v>124</v>
      </c>
      <c r="Q87" s="82" t="n">
        <v>72</v>
      </c>
      <c r="R87" s="82" t="n">
        <v>147</v>
      </c>
      <c r="S87" s="78" t="inlineStr">
        <is>
          <t>-</t>
        </is>
      </c>
      <c r="T87" s="78" t="inlineStr">
        <is>
          <t>-</t>
        </is>
      </c>
      <c r="U87" s="78" t="inlineStr">
        <is>
          <t>-</t>
        </is>
      </c>
      <c r="V87" s="132" t="inlineStr">
        <is>
          <t>—</t>
        </is>
      </c>
      <c r="W87" s="132" t="inlineStr">
        <is>
          <t>—</t>
        </is>
      </c>
      <c r="X87" s="132" t="inlineStr">
        <is>
          <t>—</t>
        </is>
      </c>
      <c r="Y87" s="133" t="inlineStr">
        <is>
          <t>—</t>
        </is>
      </c>
      <c r="Z87" s="132" t="inlineStr">
        <is>
          <t>—</t>
        </is>
      </c>
      <c r="AA87" s="134" t="inlineStr">
        <is>
          <t>—</t>
        </is>
      </c>
      <c r="AB87" s="134" t="inlineStr">
        <is>
          <t>—</t>
        </is>
      </c>
      <c r="AC87" s="132" t="inlineStr">
        <is>
          <t>—</t>
        </is>
      </c>
      <c r="AD87" s="132" t="inlineStr">
        <is>
          <t>—</t>
        </is>
      </c>
      <c r="AE87" s="128">
        <f>AVERAGE(G87,H87)</f>
        <v/>
      </c>
      <c r="AF87" s="129" t="inlineStr">
        <is>
          <t>No bidder data; SME only</t>
        </is>
      </c>
      <c r="AG87" s="130" t="inlineStr">
        <is>
          <t>no match</t>
        </is>
      </c>
      <c r="AH87" s="127">
        <f>IFERROR((AB87-AE87)/AE87,"—")</f>
        <v/>
      </c>
      <c r="AI87" s="127">
        <f>IFERROR((S87-AE87)/AE87,"—")</f>
        <v/>
      </c>
      <c r="AJ87" s="131" t="inlineStr">
        <is>
          <t>—</t>
        </is>
      </c>
    </row>
    <row r="88" ht="27.75" customHeight="1" s="56">
      <c r="A88" s="78" t="n"/>
      <c r="B88" s="78" t="inlineStr">
        <is>
          <t>B-01-002</t>
        </is>
      </c>
      <c r="C88" s="59" t="inlineStr">
        <is>
          <t>Drill blast hole 89-115mm - rotary drill</t>
        </is>
      </c>
      <c r="D88" s="78" t="inlineStr">
        <is>
          <t>m</t>
        </is>
      </c>
      <c r="E88" s="79" t="n">
        <v>23</v>
      </c>
      <c r="F88" s="79" t="n">
        <v>47</v>
      </c>
      <c r="G88" s="79" t="n">
        <v>22</v>
      </c>
      <c r="H88" s="79" t="n">
        <v>46</v>
      </c>
      <c r="I88" s="80" t="n">
        <v>26</v>
      </c>
      <c r="J88" s="80" t="n">
        <v>53</v>
      </c>
      <c r="K88" s="80" t="n">
        <v>25</v>
      </c>
      <c r="L88" s="80" t="n">
        <v>49</v>
      </c>
      <c r="M88" s="81" t="n">
        <v>26</v>
      </c>
      <c r="N88" s="81" t="n">
        <v>61</v>
      </c>
      <c r="O88" s="81" t="n">
        <v>28</v>
      </c>
      <c r="P88" s="81" t="n">
        <v>58</v>
      </c>
      <c r="Q88" s="82" t="n">
        <v>32</v>
      </c>
      <c r="R88" s="82" t="n">
        <v>70</v>
      </c>
      <c r="S88" s="83" t="n">
        <v>14800</v>
      </c>
      <c r="T88" s="78" t="inlineStr">
        <is>
          <t>-</t>
        </is>
      </c>
      <c r="U88" s="78" t="inlineStr">
        <is>
          <t>-</t>
        </is>
      </c>
      <c r="V88" s="132" t="inlineStr">
        <is>
          <t>—</t>
        </is>
      </c>
      <c r="W88" s="132" t="inlineStr">
        <is>
          <t>—</t>
        </is>
      </c>
      <c r="X88" s="132" t="inlineStr">
        <is>
          <t>—</t>
        </is>
      </c>
      <c r="Y88" s="133" t="inlineStr">
        <is>
          <t>—</t>
        </is>
      </c>
      <c r="Z88" s="132" t="inlineStr">
        <is>
          <t>—</t>
        </is>
      </c>
      <c r="AA88" s="134" t="inlineStr">
        <is>
          <t>—</t>
        </is>
      </c>
      <c r="AB88" s="134" t="inlineStr">
        <is>
          <t>—</t>
        </is>
      </c>
      <c r="AC88" s="132" t="inlineStr">
        <is>
          <t>—</t>
        </is>
      </c>
      <c r="AD88" s="132" t="inlineStr">
        <is>
          <t>—</t>
        </is>
      </c>
      <c r="AE88" s="128">
        <f>AVERAGE(G88,H88)</f>
        <v/>
      </c>
      <c r="AF88" s="129" t="inlineStr">
        <is>
          <t>No bidder data; SME only</t>
        </is>
      </c>
      <c r="AG88" s="130" t="inlineStr">
        <is>
          <t>no match</t>
        </is>
      </c>
      <c r="AH88" s="127">
        <f>IFERROR((AB88-AE88)/AE88,"—")</f>
        <v/>
      </c>
      <c r="AI88" s="127">
        <f>IFERROR((S88-AE88)/AE88,"—")</f>
        <v/>
      </c>
      <c r="AJ88" s="131" t="inlineStr">
        <is>
          <t>—</t>
        </is>
      </c>
    </row>
    <row r="89" ht="27.75" customHeight="1" s="56">
      <c r="A89" s="78" t="n"/>
      <c r="B89" s="78" t="inlineStr">
        <is>
          <t>B-01-003</t>
        </is>
      </c>
      <c r="C89" s="59" t="inlineStr">
        <is>
          <t>Rock blasting - drill+charge+blast+clear (all-in)</t>
        </is>
      </c>
      <c r="D89" s="78" t="inlineStr">
        <is>
          <t>m3</t>
        </is>
      </c>
      <c r="E89" s="79" t="n">
        <v>41</v>
      </c>
      <c r="F89" s="79" t="n">
        <v>89</v>
      </c>
      <c r="G89" s="79" t="n">
        <v>40</v>
      </c>
      <c r="H89" s="79" t="n">
        <v>87</v>
      </c>
      <c r="I89" s="80" t="n">
        <v>46</v>
      </c>
      <c r="J89" s="80" t="n">
        <v>100</v>
      </c>
      <c r="K89" s="80" t="n">
        <v>45</v>
      </c>
      <c r="L89" s="80" t="n">
        <v>92</v>
      </c>
      <c r="M89" s="81" t="n">
        <v>47</v>
      </c>
      <c r="N89" s="81" t="n">
        <v>115</v>
      </c>
      <c r="O89" s="81" t="n">
        <v>50</v>
      </c>
      <c r="P89" s="81" t="n">
        <v>110</v>
      </c>
      <c r="Q89" s="82" t="n">
        <v>58</v>
      </c>
      <c r="R89" s="82" t="n">
        <v>132</v>
      </c>
      <c r="S89" s="83" t="n">
        <v>14800</v>
      </c>
      <c r="T89" s="78" t="inlineStr">
        <is>
          <t>-</t>
        </is>
      </c>
      <c r="U89" s="78" t="inlineStr">
        <is>
          <t>-</t>
        </is>
      </c>
      <c r="V89" s="123" t="n">
        <v>52.4</v>
      </c>
      <c r="W89" s="123" t="n">
        <v>106.74</v>
      </c>
      <c r="X89" s="123" t="n">
        <v>40.39</v>
      </c>
      <c r="Y89" s="123" t="n">
        <v>145.89</v>
      </c>
      <c r="Z89" s="123" t="n">
        <v>75</v>
      </c>
      <c r="AA89" s="124">
        <f>MIN(V89:Z89)</f>
        <v/>
      </c>
      <c r="AB89" s="125">
        <f>MEDIAN(V89:Z89)</f>
        <v/>
      </c>
      <c r="AC89" s="126">
        <f>MAX(V89:Z89)</f>
        <v/>
      </c>
      <c r="AD89" s="127">
        <f>IFERROR((AC89-AA89)/AB89,"—")</f>
        <v/>
      </c>
      <c r="AE89" s="128">
        <f>AVERAGE(G89,H89)</f>
        <v/>
      </c>
      <c r="AF89" s="129" t="inlineStr">
        <is>
          <t>OK — sources align</t>
        </is>
      </c>
      <c r="AG89" s="130" t="inlineStr">
        <is>
          <t>category-fallback</t>
        </is>
      </c>
      <c r="AH89" s="127">
        <f>IFERROR((AB89-AE89)/AE89,"—")</f>
        <v/>
      </c>
      <c r="AI89" s="127">
        <f>IFERROR((S89-AE89)/AE89,"—")</f>
        <v/>
      </c>
      <c r="AJ89" s="131">
        <f>IF(AD89&gt;1, "⚠ HIGH SPREAD", IF(ABS(AH89)&gt;0.5, "⚠ DELTA", "OK"))</f>
        <v/>
      </c>
    </row>
    <row r="90" ht="27.75" customHeight="1" s="56">
      <c r="A90" s="78" t="n"/>
      <c r="B90" s="78" t="inlineStr">
        <is>
          <t>B-01-005</t>
        </is>
      </c>
      <c r="C90" s="59" t="inlineStr">
        <is>
          <t>Secondary breakage / pop shooting</t>
        </is>
      </c>
      <c r="D90" s="78" t="inlineStr">
        <is>
          <t>ea</t>
        </is>
      </c>
      <c r="E90" s="79" t="n">
        <v>230</v>
      </c>
      <c r="F90" s="79" t="n">
        <v>578</v>
      </c>
      <c r="G90" s="79" t="n">
        <v>220</v>
      </c>
      <c r="H90" s="79" t="n">
        <v>561</v>
      </c>
      <c r="I90" s="80" t="n">
        <v>255</v>
      </c>
      <c r="J90" s="80" t="n">
        <v>649</v>
      </c>
      <c r="K90" s="80" t="n">
        <v>250</v>
      </c>
      <c r="L90" s="80" t="n">
        <v>594</v>
      </c>
      <c r="M90" s="81" t="n">
        <v>262</v>
      </c>
      <c r="N90" s="81" t="n">
        <v>742</v>
      </c>
      <c r="O90" s="81" t="n">
        <v>275</v>
      </c>
      <c r="P90" s="81" t="n">
        <v>715</v>
      </c>
      <c r="Q90" s="82" t="n">
        <v>325</v>
      </c>
      <c r="R90" s="82" t="n">
        <v>852</v>
      </c>
      <c r="S90" s="78" t="inlineStr">
        <is>
          <t>-</t>
        </is>
      </c>
      <c r="T90" s="78" t="inlineStr">
        <is>
          <t>-</t>
        </is>
      </c>
      <c r="U90" s="78" t="inlineStr">
        <is>
          <t>-</t>
        </is>
      </c>
      <c r="V90" s="132" t="inlineStr">
        <is>
          <t>—</t>
        </is>
      </c>
      <c r="W90" s="132" t="inlineStr">
        <is>
          <t>—</t>
        </is>
      </c>
      <c r="X90" s="132" t="inlineStr">
        <is>
          <t>—</t>
        </is>
      </c>
      <c r="Y90" s="133" t="inlineStr">
        <is>
          <t>—</t>
        </is>
      </c>
      <c r="Z90" s="132" t="inlineStr">
        <is>
          <t>—</t>
        </is>
      </c>
      <c r="AA90" s="134" t="inlineStr">
        <is>
          <t>—</t>
        </is>
      </c>
      <c r="AB90" s="134" t="inlineStr">
        <is>
          <t>—</t>
        </is>
      </c>
      <c r="AC90" s="132" t="inlineStr">
        <is>
          <t>—</t>
        </is>
      </c>
      <c r="AD90" s="132" t="inlineStr">
        <is>
          <t>—</t>
        </is>
      </c>
      <c r="AE90" s="128">
        <f>AVERAGE(G90,H90)</f>
        <v/>
      </c>
      <c r="AF90" s="129" t="inlineStr">
        <is>
          <t>No bidder data; SME only</t>
        </is>
      </c>
      <c r="AG90" s="130" t="inlineStr">
        <is>
          <t>no match</t>
        </is>
      </c>
      <c r="AH90" s="127">
        <f>IFERROR((AB90-AE90)/AE90,"—")</f>
        <v/>
      </c>
      <c r="AI90" s="127">
        <f>IFERROR((S90-AE90)/AE90,"—")</f>
        <v/>
      </c>
      <c r="AJ90" s="131" t="inlineStr">
        <is>
          <t>—</t>
        </is>
      </c>
    </row>
    <row r="91" ht="19.5" customHeight="1" s="56">
      <c r="A91" s="77" t="inlineStr">
        <is>
          <t>J. Dewatering</t>
        </is>
      </c>
    </row>
    <row r="92" ht="27.75" customHeight="1" s="56">
      <c r="A92" s="78" t="n"/>
      <c r="B92" s="78" t="inlineStr">
        <is>
          <t>B-02-004</t>
        </is>
      </c>
      <c r="C92" s="59" t="inlineStr">
        <is>
          <t>Forcemain HDPE 150mm buried - S+I</t>
        </is>
      </c>
      <c r="D92" s="78" t="inlineStr">
        <is>
          <t>m</t>
        </is>
      </c>
      <c r="E92" s="79" t="n">
        <v>294</v>
      </c>
      <c r="F92" s="79" t="n">
        <v>441</v>
      </c>
      <c r="G92" s="79" t="n">
        <v>282</v>
      </c>
      <c r="H92" s="79" t="n">
        <v>428</v>
      </c>
      <c r="I92" s="80" t="n">
        <v>326</v>
      </c>
      <c r="J92" s="80" t="n">
        <v>496</v>
      </c>
      <c r="K92" s="80" t="n">
        <v>320</v>
      </c>
      <c r="L92" s="80" t="n">
        <v>454</v>
      </c>
      <c r="M92" s="81" t="n">
        <v>336</v>
      </c>
      <c r="N92" s="81" t="n">
        <v>567</v>
      </c>
      <c r="O92" s="81" t="n">
        <v>352</v>
      </c>
      <c r="P92" s="81" t="n">
        <v>546</v>
      </c>
      <c r="Q92" s="82" t="n">
        <v>416</v>
      </c>
      <c r="R92" s="82" t="n">
        <v>651</v>
      </c>
      <c r="S92" s="83" t="n">
        <v>95164.60799999999</v>
      </c>
      <c r="T92" s="78" t="inlineStr">
        <is>
          <t>-</t>
        </is>
      </c>
      <c r="U92" s="78" t="inlineStr">
        <is>
          <t>-</t>
        </is>
      </c>
      <c r="V92" s="123" t="n">
        <v>204</v>
      </c>
      <c r="W92" s="123" t="n">
        <v>1266.76</v>
      </c>
      <c r="X92" s="123" t="n">
        <v>422.46</v>
      </c>
      <c r="Y92" s="123" t="n">
        <v>369.63</v>
      </c>
      <c r="Z92" s="123" t="n">
        <v>500</v>
      </c>
      <c r="AA92" s="124">
        <f>MIN(V92:Z92)</f>
        <v/>
      </c>
      <c r="AB92" s="125">
        <f>MEDIAN(V92:Z92)</f>
        <v/>
      </c>
      <c r="AC92" s="126">
        <f>MAX(V92:Z92)</f>
        <v/>
      </c>
      <c r="AD92" s="127">
        <f>IFERROR((AC92-AA92)/AB92,"—")</f>
        <v/>
      </c>
      <c r="AE92" s="128">
        <f>AVERAGE(G92,H92)</f>
        <v/>
      </c>
      <c r="AF92" s="129" t="inlineStr">
        <is>
          <t>OK — sources align</t>
        </is>
      </c>
      <c r="AG92" s="130" t="inlineStr">
        <is>
          <t>size-matched; keyword-matched; category-fallback</t>
        </is>
      </c>
      <c r="AH92" s="127">
        <f>IFERROR((AB92-AE92)/AE92,"—")</f>
        <v/>
      </c>
      <c r="AI92" s="127">
        <f>IFERROR((S92-AE92)/AE92,"—")</f>
        <v/>
      </c>
      <c r="AJ92" s="131">
        <f>IF(AD92&gt;1, "⚠ HIGH SPREAD", IF(ABS(AH92)&gt;0.5, "⚠ DELTA", "OK"))</f>
        <v/>
      </c>
    </row>
    <row r="93" ht="27.75" customHeight="1" s="56">
      <c r="A93" s="78" t="n"/>
      <c r="B93" s="78" t="inlineStr">
        <is>
          <t>B-02-005</t>
        </is>
      </c>
      <c r="C93" s="59" t="inlineStr">
        <is>
          <t>Forcemain HDPE 200mm buried - S+I</t>
        </is>
      </c>
      <c r="D93" s="78" t="inlineStr">
        <is>
          <t>m</t>
        </is>
      </c>
      <c r="E93" s="79" t="n">
        <v>350</v>
      </c>
      <c r="F93" s="79" t="n">
        <v>525</v>
      </c>
      <c r="G93" s="79" t="n">
        <v>334</v>
      </c>
      <c r="H93" s="79" t="n">
        <v>510</v>
      </c>
      <c r="I93" s="80" t="n">
        <v>388</v>
      </c>
      <c r="J93" s="80" t="n">
        <v>590</v>
      </c>
      <c r="K93" s="80" t="n">
        <v>380</v>
      </c>
      <c r="L93" s="80" t="n">
        <v>540</v>
      </c>
      <c r="M93" s="81" t="n">
        <v>399</v>
      </c>
      <c r="N93" s="81" t="n">
        <v>675</v>
      </c>
      <c r="O93" s="81" t="n">
        <v>418</v>
      </c>
      <c r="P93" s="81" t="n">
        <v>650</v>
      </c>
      <c r="Q93" s="82" t="n">
        <v>494</v>
      </c>
      <c r="R93" s="82" t="n">
        <v>775</v>
      </c>
      <c r="S93" s="83" t="n">
        <v>95164.60799999999</v>
      </c>
      <c r="T93" s="78" t="inlineStr">
        <is>
          <t>-</t>
        </is>
      </c>
      <c r="U93" s="78" t="inlineStr">
        <is>
          <t>-</t>
        </is>
      </c>
      <c r="V93" s="123" t="n">
        <v>490</v>
      </c>
      <c r="W93" s="123" t="n">
        <v>1266.76</v>
      </c>
      <c r="X93" s="123" t="n">
        <v>826.35</v>
      </c>
      <c r="Y93" s="123" t="n">
        <v>369.63</v>
      </c>
      <c r="Z93" s="123" t="n">
        <v>500</v>
      </c>
      <c r="AA93" s="124">
        <f>MIN(V93:Z93)</f>
        <v/>
      </c>
      <c r="AB93" s="125">
        <f>MEDIAN(V93:Z93)</f>
        <v/>
      </c>
      <c r="AC93" s="126">
        <f>MAX(V93:Z93)</f>
        <v/>
      </c>
      <c r="AD93" s="127">
        <f>IFERROR((AC93-AA93)/AB93,"—")</f>
        <v/>
      </c>
      <c r="AE93" s="128">
        <f>AVERAGE(G93,H93)</f>
        <v/>
      </c>
      <c r="AF93" s="129" t="inlineStr">
        <is>
          <t>OK — sources align</t>
        </is>
      </c>
      <c r="AG93" s="130" t="inlineStr">
        <is>
          <t>category-fallback; keyword-matched</t>
        </is>
      </c>
      <c r="AH93" s="127">
        <f>IFERROR((AB93-AE93)/AE93,"—")</f>
        <v/>
      </c>
      <c r="AI93" s="127">
        <f>IFERROR((S93-AE93)/AE93,"—")</f>
        <v/>
      </c>
      <c r="AJ93" s="131">
        <f>IF(AD93&gt;1, "⚠ HIGH SPREAD", IF(ABS(AH93)&gt;0.5, "⚠ DELTA", "OK"))</f>
        <v/>
      </c>
    </row>
    <row r="94" ht="27.75" customHeight="1" s="56">
      <c r="A94" s="78" t="n"/>
      <c r="B94" s="78" t="inlineStr">
        <is>
          <t>B-02-003</t>
        </is>
      </c>
      <c r="C94" s="59" t="inlineStr">
        <is>
          <t>Submersible pump station - large &gt;50 L/s</t>
        </is>
      </c>
      <c r="D94" s="78" t="inlineStr">
        <is>
          <t>ea</t>
        </is>
      </c>
      <c r="E94" s="79" t="n">
        <v>110400</v>
      </c>
      <c r="F94" s="79" t="n">
        <v>262500</v>
      </c>
      <c r="G94" s="79" t="n">
        <v>105600</v>
      </c>
      <c r="H94" s="79" t="n">
        <v>255000</v>
      </c>
      <c r="I94" s="80" t="n">
        <v>122400</v>
      </c>
      <c r="J94" s="80" t="n">
        <v>295000</v>
      </c>
      <c r="K94" s="80" t="n">
        <v>120000</v>
      </c>
      <c r="L94" s="80" t="n">
        <v>270000</v>
      </c>
      <c r="M94" s="81" t="n">
        <v>126000</v>
      </c>
      <c r="N94" s="81" t="n">
        <v>337500</v>
      </c>
      <c r="O94" s="81" t="n">
        <v>132000</v>
      </c>
      <c r="P94" s="81" t="n">
        <v>325000</v>
      </c>
      <c r="Q94" s="82" t="n">
        <v>156000</v>
      </c>
      <c r="R94" s="82" t="n">
        <v>387500</v>
      </c>
      <c r="S94" s="83" t="n">
        <v>87518</v>
      </c>
      <c r="T94" s="78" t="inlineStr">
        <is>
          <t>-</t>
        </is>
      </c>
      <c r="U94" s="78" t="inlineStr">
        <is>
          <t>-</t>
        </is>
      </c>
      <c r="V94" s="123" t="n">
        <v>17450</v>
      </c>
      <c r="W94" s="132" t="inlineStr">
        <is>
          <t>—</t>
        </is>
      </c>
      <c r="X94" s="132" t="inlineStr">
        <is>
          <t>—</t>
        </is>
      </c>
      <c r="Y94" s="133" t="inlineStr">
        <is>
          <t>—</t>
        </is>
      </c>
      <c r="Z94" s="132" t="inlineStr">
        <is>
          <t>—</t>
        </is>
      </c>
      <c r="AA94" s="134" t="inlineStr">
        <is>
          <t>—</t>
        </is>
      </c>
      <c r="AB94" s="125">
        <f>MEDIAN(V94:Z94)</f>
        <v/>
      </c>
      <c r="AC94" s="132" t="inlineStr">
        <is>
          <t>—</t>
        </is>
      </c>
      <c r="AD94" s="132" t="inlineStr">
        <is>
          <t>—</t>
        </is>
      </c>
      <c r="AE94" s="128">
        <f>AVERAGE(G94,H94)</f>
        <v/>
      </c>
      <c r="AF94" s="129" t="inlineStr">
        <is>
          <t>Only 1/5 bidders priced — limited market signal</t>
        </is>
      </c>
      <c r="AG94" s="130" t="inlineStr">
        <is>
          <t>keyword-matched</t>
        </is>
      </c>
      <c r="AH94" s="127">
        <f>IFERROR((AB94-AE94)/AE94,"—")</f>
        <v/>
      </c>
      <c r="AI94" s="127">
        <f>IFERROR((S94-AE94)/AE94,"—")</f>
        <v/>
      </c>
      <c r="AJ94" s="131" t="inlineStr">
        <is>
          <t>—</t>
        </is>
      </c>
    </row>
    <row r="95" ht="27.75" customHeight="1" s="56">
      <c r="A95" s="78" t="n"/>
      <c r="B95" s="78" t="inlineStr">
        <is>
          <t>B-02-002</t>
        </is>
      </c>
      <c r="C95" s="59" t="inlineStr">
        <is>
          <t>Submersible pump station - small &lt;50 L/s</t>
        </is>
      </c>
      <c r="D95" s="78" t="inlineStr">
        <is>
          <t>ea</t>
        </is>
      </c>
      <c r="E95" s="79" t="n">
        <v>41400</v>
      </c>
      <c r="F95" s="79" t="n">
        <v>89250</v>
      </c>
      <c r="G95" s="79" t="n">
        <v>39600</v>
      </c>
      <c r="H95" s="79" t="n">
        <v>86700</v>
      </c>
      <c r="I95" s="80" t="n">
        <v>45900</v>
      </c>
      <c r="J95" s="80" t="n">
        <v>100300</v>
      </c>
      <c r="K95" s="80" t="n">
        <v>45000</v>
      </c>
      <c r="L95" s="80" t="n">
        <v>91800</v>
      </c>
      <c r="M95" s="81" t="n">
        <v>47250</v>
      </c>
      <c r="N95" s="81" t="n">
        <v>114750</v>
      </c>
      <c r="O95" s="81" t="n">
        <v>49500</v>
      </c>
      <c r="P95" s="81" t="n">
        <v>110500</v>
      </c>
      <c r="Q95" s="82" t="n">
        <v>58500</v>
      </c>
      <c r="R95" s="82" t="n">
        <v>131750</v>
      </c>
      <c r="S95" s="83" t="n">
        <v>87518</v>
      </c>
      <c r="T95" s="78" t="inlineStr">
        <is>
          <t>-</t>
        </is>
      </c>
      <c r="U95" s="78" t="inlineStr">
        <is>
          <t>-</t>
        </is>
      </c>
      <c r="V95" s="123" t="n">
        <v>17450</v>
      </c>
      <c r="W95" s="132" t="inlineStr">
        <is>
          <t>—</t>
        </is>
      </c>
      <c r="X95" s="132" t="inlineStr">
        <is>
          <t>—</t>
        </is>
      </c>
      <c r="Y95" s="133" t="inlineStr">
        <is>
          <t>—</t>
        </is>
      </c>
      <c r="Z95" s="132" t="inlineStr">
        <is>
          <t>—</t>
        </is>
      </c>
      <c r="AA95" s="134" t="inlineStr">
        <is>
          <t>—</t>
        </is>
      </c>
      <c r="AB95" s="125">
        <f>MEDIAN(V95:Z95)</f>
        <v/>
      </c>
      <c r="AC95" s="132" t="inlineStr">
        <is>
          <t>—</t>
        </is>
      </c>
      <c r="AD95" s="132" t="inlineStr">
        <is>
          <t>—</t>
        </is>
      </c>
      <c r="AE95" s="128">
        <f>AVERAGE(G95,H95)</f>
        <v/>
      </c>
      <c r="AF95" s="129" t="inlineStr">
        <is>
          <t>Only 1/5 bidders priced — limited market signal</t>
        </is>
      </c>
      <c r="AG95" s="130" t="inlineStr">
        <is>
          <t>keyword-matched</t>
        </is>
      </c>
      <c r="AH95" s="127">
        <f>IFERROR((AB95-AE95)/AE95,"—")</f>
        <v/>
      </c>
      <c r="AI95" s="127">
        <f>IFERROR((S95-AE95)/AE95,"—")</f>
        <v/>
      </c>
      <c r="AJ95" s="131" t="inlineStr">
        <is>
          <t>—</t>
        </is>
      </c>
    </row>
    <row r="96" ht="27.75" customHeight="1" s="56">
      <c r="A96" s="78" t="n"/>
      <c r="B96" s="78" t="inlineStr">
        <is>
          <t>B-02-006</t>
        </is>
      </c>
      <c r="C96" s="59" t="inlineStr">
        <is>
          <t>Wellpoint dewatering - install+operate 4wk</t>
        </is>
      </c>
      <c r="D96" s="78" t="inlineStr">
        <is>
          <t>LS</t>
        </is>
      </c>
      <c r="E96" s="79" t="n">
        <v>32200</v>
      </c>
      <c r="F96" s="79" t="n">
        <v>68250</v>
      </c>
      <c r="G96" s="79" t="n">
        <v>30800</v>
      </c>
      <c r="H96" s="79" t="n">
        <v>66300</v>
      </c>
      <c r="I96" s="80" t="n">
        <v>35700</v>
      </c>
      <c r="J96" s="80" t="n">
        <v>76700</v>
      </c>
      <c r="K96" s="80" t="n">
        <v>35000</v>
      </c>
      <c r="L96" s="80" t="n">
        <v>70200</v>
      </c>
      <c r="M96" s="81" t="n">
        <v>36750</v>
      </c>
      <c r="N96" s="81" t="n">
        <v>87750</v>
      </c>
      <c r="O96" s="81" t="n">
        <v>38500</v>
      </c>
      <c r="P96" s="81" t="n">
        <v>84500</v>
      </c>
      <c r="Q96" s="82" t="n">
        <v>45500</v>
      </c>
      <c r="R96" s="82" t="n">
        <v>100750</v>
      </c>
      <c r="S96" s="78" t="inlineStr">
        <is>
          <t>-</t>
        </is>
      </c>
      <c r="T96" s="78" t="inlineStr">
        <is>
          <t>-</t>
        </is>
      </c>
      <c r="U96" s="78" t="inlineStr">
        <is>
          <t>-</t>
        </is>
      </c>
      <c r="V96" s="135" t="inlineStr">
        <is>
          <t>—</t>
        </is>
      </c>
      <c r="W96" s="135" t="inlineStr">
        <is>
          <t>—</t>
        </is>
      </c>
      <c r="X96" s="135" t="inlineStr">
        <is>
          <t>—</t>
        </is>
      </c>
      <c r="Y96" s="133" t="inlineStr">
        <is>
          <t>—</t>
        </is>
      </c>
      <c r="Z96" s="132" t="inlineStr">
        <is>
          <t>—</t>
        </is>
      </c>
      <c r="AA96" s="134" t="inlineStr">
        <is>
          <t>—</t>
        </is>
      </c>
      <c r="AB96" s="134" t="inlineStr">
        <is>
          <t>—</t>
        </is>
      </c>
      <c r="AC96" s="132" t="inlineStr">
        <is>
          <t>—</t>
        </is>
      </c>
      <c r="AD96" s="132" t="inlineStr">
        <is>
          <t>—</t>
        </is>
      </c>
      <c r="AE96" s="128">
        <f>AVERAGE(G96,H96)</f>
        <v/>
      </c>
      <c r="AF96" s="129" t="inlineStr">
        <is>
          <t>No bidder data; SME only</t>
        </is>
      </c>
      <c r="AG96" s="130" t="inlineStr">
        <is>
          <t>no match</t>
        </is>
      </c>
      <c r="AH96" s="127">
        <f>IFERROR((AB96-AE96)/AE96,"—")</f>
        <v/>
      </c>
      <c r="AI96" s="127">
        <f>IFERROR((S96-AE96)/AE96,"—")</f>
        <v/>
      </c>
      <c r="AJ96" s="131" t="inlineStr">
        <is>
          <t>—</t>
        </is>
      </c>
    </row>
    <row r="97" ht="19.5" customHeight="1" s="56">
      <c r="A97" s="77" t="inlineStr">
        <is>
          <t>K. Buried Services</t>
        </is>
      </c>
    </row>
    <row r="98" ht="27.75" customHeight="1" s="56">
      <c r="A98" s="78" t="n"/>
      <c r="B98" s="78" t="inlineStr">
        <is>
          <t>B-03-006</t>
        </is>
      </c>
      <c r="C98" s="59" t="inlineStr">
        <is>
          <t>Concrete thrust block - supply+form+pour</t>
        </is>
      </c>
      <c r="D98" s="78" t="inlineStr">
        <is>
          <t>ea</t>
        </is>
      </c>
      <c r="E98" s="79" t="n">
        <v>1104</v>
      </c>
      <c r="F98" s="79" t="n">
        <v>2625</v>
      </c>
      <c r="G98" s="79" t="n">
        <v>1056</v>
      </c>
      <c r="H98" s="79" t="n">
        <v>2550</v>
      </c>
      <c r="I98" s="80" t="n">
        <v>1224</v>
      </c>
      <c r="J98" s="80" t="n">
        <v>2950</v>
      </c>
      <c r="K98" s="80" t="n">
        <v>1200</v>
      </c>
      <c r="L98" s="80" t="n">
        <v>2700</v>
      </c>
      <c r="M98" s="81" t="n">
        <v>1260</v>
      </c>
      <c r="N98" s="81" t="n">
        <v>3375</v>
      </c>
      <c r="O98" s="81" t="n">
        <v>1320</v>
      </c>
      <c r="P98" s="81" t="n">
        <v>3250</v>
      </c>
      <c r="Q98" s="82" t="n">
        <v>1560</v>
      </c>
      <c r="R98" s="82" t="n">
        <v>3875</v>
      </c>
      <c r="S98" s="83" t="n">
        <v>550</v>
      </c>
      <c r="T98" s="78" t="inlineStr">
        <is>
          <t>-</t>
        </is>
      </c>
      <c r="U98" s="78" t="inlineStr">
        <is>
          <t>-</t>
        </is>
      </c>
      <c r="V98" s="123" t="n">
        <v>13500</v>
      </c>
      <c r="W98" s="123" t="n">
        <v>13822.43</v>
      </c>
      <c r="X98" s="123" t="n">
        <v>6201.82</v>
      </c>
      <c r="Y98" s="133" t="inlineStr">
        <is>
          <t>—</t>
        </is>
      </c>
      <c r="Z98" s="123" t="n">
        <v>30000</v>
      </c>
      <c r="AA98" s="124">
        <f>MIN(V98:Z98)</f>
        <v/>
      </c>
      <c r="AB98" s="125">
        <f>MEDIAN(V98:Z98)</f>
        <v/>
      </c>
      <c r="AC98" s="126">
        <f>MAX(V98:Z98)</f>
        <v/>
      </c>
      <c r="AD98" s="127">
        <f>IFERROR((AC98-AA98)/AB98,"—")</f>
        <v/>
      </c>
      <c r="AE98" s="128">
        <f>AVERAGE(G98,H98)</f>
        <v/>
      </c>
      <c r="AF98" s="129" t="inlineStr">
        <is>
          <t>OK — sources align</t>
        </is>
      </c>
      <c r="AG98" s="130" t="inlineStr">
        <is>
          <t>category-fallback</t>
        </is>
      </c>
      <c r="AH98" s="127">
        <f>IFERROR((AB98-AE98)/AE98,"—")</f>
        <v/>
      </c>
      <c r="AI98" s="127">
        <f>IFERROR((S98-AE98)/AE98,"—")</f>
        <v/>
      </c>
      <c r="AJ98" s="131">
        <f>IF(AD98&gt;1, "⚠ HIGH SPREAD", IF(ABS(AH98)&gt;0.5, "⚠ DELTA", "OK"))</f>
        <v/>
      </c>
    </row>
    <row r="99" ht="27.75" customHeight="1" s="56">
      <c r="A99" s="78" t="n"/>
      <c r="B99" s="78" t="inlineStr">
        <is>
          <t>B-03-007</t>
        </is>
      </c>
      <c r="C99" s="59" t="inlineStr">
        <is>
          <t>Gate valve 150mm buried - S+I</t>
        </is>
      </c>
      <c r="D99" s="78" t="inlineStr">
        <is>
          <t>ea</t>
        </is>
      </c>
      <c r="E99" s="79" t="n">
        <v>2024</v>
      </c>
      <c r="F99" s="79" t="n">
        <v>3675</v>
      </c>
      <c r="G99" s="79" t="n">
        <v>1936</v>
      </c>
      <c r="H99" s="79" t="n">
        <v>3570</v>
      </c>
      <c r="I99" s="80" t="n">
        <v>2244</v>
      </c>
      <c r="J99" s="80" t="n">
        <v>4130</v>
      </c>
      <c r="K99" s="80" t="n">
        <v>2200</v>
      </c>
      <c r="L99" s="80" t="n">
        <v>3780</v>
      </c>
      <c r="M99" s="81" t="n">
        <v>2310</v>
      </c>
      <c r="N99" s="81" t="n">
        <v>4725</v>
      </c>
      <c r="O99" s="81" t="n">
        <v>2420</v>
      </c>
      <c r="P99" s="81" t="n">
        <v>4550</v>
      </c>
      <c r="Q99" s="82" t="n">
        <v>2860</v>
      </c>
      <c r="R99" s="82" t="n">
        <v>5425</v>
      </c>
      <c r="S99" s="83" t="n">
        <v>409404.821635107</v>
      </c>
      <c r="T99" s="78" t="inlineStr">
        <is>
          <t>-</t>
        </is>
      </c>
      <c r="U99" s="78" t="inlineStr">
        <is>
          <t>-</t>
        </is>
      </c>
      <c r="V99" s="123" t="n">
        <v>22700</v>
      </c>
      <c r="W99" s="123" t="n">
        <v>2764.49</v>
      </c>
      <c r="X99" s="123" t="n">
        <v>37517.91</v>
      </c>
      <c r="Y99" s="133" t="inlineStr">
        <is>
          <t>—</t>
        </is>
      </c>
      <c r="Z99" s="123" t="n">
        <v>5000</v>
      </c>
      <c r="AA99" s="124">
        <f>MIN(V99:Z99)</f>
        <v/>
      </c>
      <c r="AB99" s="125">
        <f>MEDIAN(V99:Z99)</f>
        <v/>
      </c>
      <c r="AC99" s="126">
        <f>MAX(V99:Z99)</f>
        <v/>
      </c>
      <c r="AD99" s="127">
        <f>IFERROR((AC99-AA99)/AB99,"—")</f>
        <v/>
      </c>
      <c r="AE99" s="128">
        <f>AVERAGE(G99,H99)</f>
        <v/>
      </c>
      <c r="AF99" s="129" t="inlineStr">
        <is>
          <t>OK — sources align</t>
        </is>
      </c>
      <c r="AG99" s="130" t="inlineStr">
        <is>
          <t>category-fallback</t>
        </is>
      </c>
      <c r="AH99" s="127">
        <f>IFERROR((AB99-AE99)/AE99,"—")</f>
        <v/>
      </c>
      <c r="AI99" s="127">
        <f>IFERROR((S99-AE99)/AE99,"—")</f>
        <v/>
      </c>
      <c r="AJ99" s="131">
        <f>IF(AD99&gt;1, "⚠ HIGH SPREAD", IF(ABS(AH99)&gt;0.5, "⚠ DELTA", "OK"))</f>
        <v/>
      </c>
    </row>
    <row r="100" ht="27.75" customHeight="1" s="56">
      <c r="A100" s="78" t="n"/>
      <c r="B100" s="78" t="inlineStr">
        <is>
          <t>B-03-008</t>
        </is>
      </c>
      <c r="C100" s="59" t="inlineStr">
        <is>
          <t>Hydrant - supply+install</t>
        </is>
      </c>
      <c r="D100" s="78" t="inlineStr">
        <is>
          <t>ea</t>
        </is>
      </c>
      <c r="E100" s="79" t="n">
        <v>7820</v>
      </c>
      <c r="F100" s="79" t="n">
        <v>14700</v>
      </c>
      <c r="G100" s="79" t="n">
        <v>7480</v>
      </c>
      <c r="H100" s="79" t="n">
        <v>14280</v>
      </c>
      <c r="I100" s="80" t="n">
        <v>8670</v>
      </c>
      <c r="J100" s="80" t="n">
        <v>16520</v>
      </c>
      <c r="K100" s="80" t="n">
        <v>8500</v>
      </c>
      <c r="L100" s="80" t="n">
        <v>15120</v>
      </c>
      <c r="M100" s="81" t="n">
        <v>8925</v>
      </c>
      <c r="N100" s="81" t="n">
        <v>18900</v>
      </c>
      <c r="O100" s="81" t="n">
        <v>9350</v>
      </c>
      <c r="P100" s="81" t="n">
        <v>18200</v>
      </c>
      <c r="Q100" s="82" t="n">
        <v>11050</v>
      </c>
      <c r="R100" s="82" t="n">
        <v>21700</v>
      </c>
      <c r="S100" s="83" t="n">
        <v>1000</v>
      </c>
      <c r="T100" s="78" t="inlineStr">
        <is>
          <t>-</t>
        </is>
      </c>
      <c r="U100" s="78" t="inlineStr">
        <is>
          <t>-</t>
        </is>
      </c>
      <c r="V100" s="135" t="inlineStr">
        <is>
          <t>—</t>
        </is>
      </c>
      <c r="W100" s="135" t="inlineStr">
        <is>
          <t>—</t>
        </is>
      </c>
      <c r="X100" s="135" t="inlineStr">
        <is>
          <t>—</t>
        </is>
      </c>
      <c r="Y100" s="133" t="inlineStr">
        <is>
          <t>—</t>
        </is>
      </c>
      <c r="Z100" s="132" t="inlineStr">
        <is>
          <t>—</t>
        </is>
      </c>
      <c r="AA100" s="134" t="inlineStr">
        <is>
          <t>—</t>
        </is>
      </c>
      <c r="AB100" s="134" t="inlineStr">
        <is>
          <t>—</t>
        </is>
      </c>
      <c r="AC100" s="132" t="inlineStr">
        <is>
          <t>—</t>
        </is>
      </c>
      <c r="AD100" s="132" t="inlineStr">
        <is>
          <t>—</t>
        </is>
      </c>
      <c r="AE100" s="128">
        <f>AVERAGE(G100,H100)</f>
        <v/>
      </c>
      <c r="AF100" s="129" t="inlineStr">
        <is>
          <t>No bidder data; SME only</t>
        </is>
      </c>
      <c r="AG100" s="130" t="inlineStr">
        <is>
          <t>no match</t>
        </is>
      </c>
      <c r="AH100" s="127">
        <f>IFERROR((AB100-AE100)/AE100,"—")</f>
        <v/>
      </c>
      <c r="AI100" s="127">
        <f>IFERROR((S100-AE100)/AE100,"—")</f>
        <v/>
      </c>
      <c r="AJ100" s="131" t="inlineStr">
        <is>
          <t>—</t>
        </is>
      </c>
    </row>
    <row r="101" ht="27.75" customHeight="1" s="56">
      <c r="A101" s="78" t="n"/>
      <c r="B101" s="78" t="inlineStr">
        <is>
          <t>B-03-005</t>
        </is>
      </c>
      <c r="C101" s="59" t="inlineStr">
        <is>
          <t>Sanitary manhole precast 1200mm - S+I</t>
        </is>
      </c>
      <c r="D101" s="78" t="inlineStr">
        <is>
          <t>ea</t>
        </is>
      </c>
      <c r="E101" s="79" t="n">
        <v>4140</v>
      </c>
      <c r="F101" s="79" t="n">
        <v>7875</v>
      </c>
      <c r="G101" s="79" t="n">
        <v>3960</v>
      </c>
      <c r="H101" s="79" t="n">
        <v>7650</v>
      </c>
      <c r="I101" s="80" t="n">
        <v>4590</v>
      </c>
      <c r="J101" s="80" t="n">
        <v>8850</v>
      </c>
      <c r="K101" s="80" t="n">
        <v>4500</v>
      </c>
      <c r="L101" s="80" t="n">
        <v>8100</v>
      </c>
      <c r="M101" s="81" t="n">
        <v>4725</v>
      </c>
      <c r="N101" s="81" t="n">
        <v>10125</v>
      </c>
      <c r="O101" s="81" t="n">
        <v>4950</v>
      </c>
      <c r="P101" s="81" t="n">
        <v>9750</v>
      </c>
      <c r="Q101" s="82" t="n">
        <v>5850</v>
      </c>
      <c r="R101" s="82" t="n">
        <v>11625</v>
      </c>
      <c r="S101" s="78" t="inlineStr">
        <is>
          <t>-</t>
        </is>
      </c>
      <c r="T101" s="78" t="inlineStr">
        <is>
          <t>-</t>
        </is>
      </c>
      <c r="U101" s="78" t="inlineStr">
        <is>
          <t>-</t>
        </is>
      </c>
      <c r="V101" s="132" t="inlineStr">
        <is>
          <t>—</t>
        </is>
      </c>
      <c r="W101" s="132" t="inlineStr">
        <is>
          <t>—</t>
        </is>
      </c>
      <c r="X101" s="132" t="inlineStr">
        <is>
          <t>—</t>
        </is>
      </c>
      <c r="Y101" s="133" t="inlineStr">
        <is>
          <t>—</t>
        </is>
      </c>
      <c r="Z101" s="132" t="inlineStr">
        <is>
          <t>—</t>
        </is>
      </c>
      <c r="AA101" s="134" t="inlineStr">
        <is>
          <t>—</t>
        </is>
      </c>
      <c r="AB101" s="134" t="inlineStr">
        <is>
          <t>—</t>
        </is>
      </c>
      <c r="AC101" s="132" t="inlineStr">
        <is>
          <t>—</t>
        </is>
      </c>
      <c r="AD101" s="132" t="inlineStr">
        <is>
          <t>—</t>
        </is>
      </c>
      <c r="AE101" s="128">
        <f>AVERAGE(G101,H101)</f>
        <v/>
      </c>
      <c r="AF101" s="129" t="inlineStr">
        <is>
          <t>No bidder data; SME only</t>
        </is>
      </c>
      <c r="AG101" s="130" t="inlineStr">
        <is>
          <t>no match</t>
        </is>
      </c>
      <c r="AH101" s="127">
        <f>IFERROR((AB101-AE101)/AE101,"—")</f>
        <v/>
      </c>
      <c r="AI101" s="127">
        <f>IFERROR((S101-AE101)/AE101,"—")</f>
        <v/>
      </c>
      <c r="AJ101" s="131" t="inlineStr">
        <is>
          <t>—</t>
        </is>
      </c>
    </row>
    <row r="102" ht="27.75" customHeight="1" s="56">
      <c r="A102" s="78" t="n"/>
      <c r="B102" s="78" t="inlineStr">
        <is>
          <t>B-03-004</t>
        </is>
      </c>
      <c r="C102" s="59" t="inlineStr">
        <is>
          <t>Sanitary sewer PVC 150mm buried - S+I</t>
        </is>
      </c>
      <c r="D102" s="78" t="inlineStr">
        <is>
          <t>m</t>
        </is>
      </c>
      <c r="E102" s="79" t="n">
        <v>350</v>
      </c>
      <c r="F102" s="79" t="n">
        <v>546</v>
      </c>
      <c r="G102" s="79" t="n">
        <v>334</v>
      </c>
      <c r="H102" s="79" t="n">
        <v>530</v>
      </c>
      <c r="I102" s="80" t="n">
        <v>388</v>
      </c>
      <c r="J102" s="80" t="n">
        <v>614</v>
      </c>
      <c r="K102" s="80" t="n">
        <v>380</v>
      </c>
      <c r="L102" s="80" t="n">
        <v>562</v>
      </c>
      <c r="M102" s="81" t="n">
        <v>399</v>
      </c>
      <c r="N102" s="81" t="n">
        <v>702</v>
      </c>
      <c r="O102" s="81" t="n">
        <v>418</v>
      </c>
      <c r="P102" s="81" t="n">
        <v>676</v>
      </c>
      <c r="Q102" s="82" t="n">
        <v>494</v>
      </c>
      <c r="R102" s="82" t="n">
        <v>806</v>
      </c>
      <c r="S102" s="83" t="n">
        <v>1160</v>
      </c>
      <c r="T102" s="78" t="inlineStr">
        <is>
          <t>-</t>
        </is>
      </c>
      <c r="U102" s="78" t="inlineStr">
        <is>
          <t>-</t>
        </is>
      </c>
      <c r="V102" s="132" t="inlineStr">
        <is>
          <t>—</t>
        </is>
      </c>
      <c r="W102" s="132" t="inlineStr">
        <is>
          <t>—</t>
        </is>
      </c>
      <c r="X102" s="132" t="inlineStr">
        <is>
          <t>—</t>
        </is>
      </c>
      <c r="Y102" s="133" t="inlineStr">
        <is>
          <t>—</t>
        </is>
      </c>
      <c r="Z102" s="132" t="inlineStr">
        <is>
          <t>—</t>
        </is>
      </c>
      <c r="AA102" s="134" t="inlineStr">
        <is>
          <t>—</t>
        </is>
      </c>
      <c r="AB102" s="134" t="inlineStr">
        <is>
          <t>—</t>
        </is>
      </c>
      <c r="AC102" s="132" t="inlineStr">
        <is>
          <t>—</t>
        </is>
      </c>
      <c r="AD102" s="132" t="inlineStr">
        <is>
          <t>—</t>
        </is>
      </c>
      <c r="AE102" s="128">
        <f>AVERAGE(G102,H102)</f>
        <v/>
      </c>
      <c r="AF102" s="129" t="inlineStr">
        <is>
          <t>No bidder data; SME only</t>
        </is>
      </c>
      <c r="AG102" s="130" t="inlineStr">
        <is>
          <t>no match</t>
        </is>
      </c>
      <c r="AH102" s="127">
        <f>IFERROR((AB102-AE102)/AE102,"—")</f>
        <v/>
      </c>
      <c r="AI102" s="127">
        <f>IFERROR((S102-AE102)/AE102,"—")</f>
        <v/>
      </c>
      <c r="AJ102" s="131" t="inlineStr">
        <is>
          <t>—</t>
        </is>
      </c>
    </row>
    <row r="103" ht="27.75" customHeight="1" s="56">
      <c r="A103" s="78" t="n"/>
      <c r="B103" s="78" t="inlineStr">
        <is>
          <t>B-03-002</t>
        </is>
      </c>
      <c r="C103" s="59" t="inlineStr">
        <is>
          <t>Water line HDPE 150mm buried - S+I</t>
        </is>
      </c>
      <c r="D103" s="78" t="inlineStr">
        <is>
          <t>m</t>
        </is>
      </c>
      <c r="E103" s="79" t="n">
        <v>350</v>
      </c>
      <c r="F103" s="79" t="n">
        <v>525</v>
      </c>
      <c r="G103" s="79" t="n">
        <v>334</v>
      </c>
      <c r="H103" s="79" t="n">
        <v>510</v>
      </c>
      <c r="I103" s="80" t="n">
        <v>388</v>
      </c>
      <c r="J103" s="80" t="n">
        <v>590</v>
      </c>
      <c r="K103" s="80" t="n">
        <v>380</v>
      </c>
      <c r="L103" s="80" t="n">
        <v>540</v>
      </c>
      <c r="M103" s="81" t="n">
        <v>399</v>
      </c>
      <c r="N103" s="81" t="n">
        <v>675</v>
      </c>
      <c r="O103" s="81" t="n">
        <v>418</v>
      </c>
      <c r="P103" s="81" t="n">
        <v>650</v>
      </c>
      <c r="Q103" s="82" t="n">
        <v>494</v>
      </c>
      <c r="R103" s="82" t="n">
        <v>775</v>
      </c>
      <c r="S103" s="83" t="n">
        <v>243.882596523098</v>
      </c>
      <c r="T103" s="78" t="inlineStr">
        <is>
          <t>-</t>
        </is>
      </c>
      <c r="U103" s="78" t="inlineStr">
        <is>
          <t>-</t>
        </is>
      </c>
      <c r="V103" s="123" t="n">
        <v>204</v>
      </c>
      <c r="W103" s="123" t="n">
        <v>2539.78</v>
      </c>
      <c r="X103" s="123" t="n">
        <v>422.46</v>
      </c>
      <c r="Y103" s="123" t="n">
        <v>369.63</v>
      </c>
      <c r="Z103" s="123" t="n">
        <v>1500</v>
      </c>
      <c r="AA103" s="124">
        <f>MIN(V103:Z103)</f>
        <v/>
      </c>
      <c r="AB103" s="125">
        <f>MEDIAN(V103:Z103)</f>
        <v/>
      </c>
      <c r="AC103" s="126">
        <f>MAX(V103:Z103)</f>
        <v/>
      </c>
      <c r="AD103" s="127">
        <f>IFERROR((AC103-AA103)/AB103,"—")</f>
        <v/>
      </c>
      <c r="AE103" s="128">
        <f>AVERAGE(G103,H103)</f>
        <v/>
      </c>
      <c r="AF103" s="129" t="inlineStr">
        <is>
          <t>OK — sources align</t>
        </is>
      </c>
      <c r="AG103" s="130" t="inlineStr">
        <is>
          <t>size-matched; category-fallback</t>
        </is>
      </c>
      <c r="AH103" s="127">
        <f>IFERROR((AB103-AE103)/AE103,"—")</f>
        <v/>
      </c>
      <c r="AI103" s="127">
        <f>IFERROR((S103-AE103)/AE103,"—")</f>
        <v/>
      </c>
      <c r="AJ103" s="131">
        <f>IF(AD103&gt;1, "⚠ HIGH SPREAD", IF(ABS(AH103)&gt;0.5, "⚠ DELTA", "OK"))</f>
        <v/>
      </c>
    </row>
    <row r="104" ht="27.75" customHeight="1" s="56">
      <c r="A104" s="78" t="n"/>
      <c r="B104" s="78" t="inlineStr">
        <is>
          <t>B-03-003</t>
        </is>
      </c>
      <c r="C104" s="59" t="inlineStr">
        <is>
          <t>Water line HDPE 200mm buried - S+I</t>
        </is>
      </c>
      <c r="D104" s="78" t="inlineStr">
        <is>
          <t>m</t>
        </is>
      </c>
      <c r="E104" s="79" t="n">
        <v>414</v>
      </c>
      <c r="F104" s="79" t="n">
        <v>651</v>
      </c>
      <c r="G104" s="79" t="n">
        <v>396</v>
      </c>
      <c r="H104" s="79" t="n">
        <v>632</v>
      </c>
      <c r="I104" s="80" t="n">
        <v>459</v>
      </c>
      <c r="J104" s="80" t="n">
        <v>732</v>
      </c>
      <c r="K104" s="80" t="n">
        <v>450</v>
      </c>
      <c r="L104" s="80" t="n">
        <v>670</v>
      </c>
      <c r="M104" s="81" t="n">
        <v>472</v>
      </c>
      <c r="N104" s="81" t="n">
        <v>837</v>
      </c>
      <c r="O104" s="81" t="n">
        <v>495</v>
      </c>
      <c r="P104" s="81" t="n">
        <v>806</v>
      </c>
      <c r="Q104" s="82" t="n">
        <v>585</v>
      </c>
      <c r="R104" s="82" t="n">
        <v>961</v>
      </c>
      <c r="S104" s="83" t="n">
        <v>243.882596523098</v>
      </c>
      <c r="T104" s="78" t="inlineStr">
        <is>
          <t>-</t>
        </is>
      </c>
      <c r="U104" s="78" t="inlineStr">
        <is>
          <t>-</t>
        </is>
      </c>
      <c r="V104" s="123" t="n">
        <v>1205</v>
      </c>
      <c r="W104" s="123" t="n">
        <v>2539.78</v>
      </c>
      <c r="X104" s="123" t="n">
        <v>826.35</v>
      </c>
      <c r="Y104" s="123" t="n">
        <v>369.63</v>
      </c>
      <c r="Z104" s="123" t="n">
        <v>1500</v>
      </c>
      <c r="AA104" s="124">
        <f>MIN(V104:Z104)</f>
        <v/>
      </c>
      <c r="AB104" s="125">
        <f>MEDIAN(V104:Z104)</f>
        <v/>
      </c>
      <c r="AC104" s="126">
        <f>MAX(V104:Z104)</f>
        <v/>
      </c>
      <c r="AD104" s="127">
        <f>IFERROR((AC104-AA104)/AB104,"—")</f>
        <v/>
      </c>
      <c r="AE104" s="128">
        <f>AVERAGE(G104,H104)</f>
        <v/>
      </c>
      <c r="AF104" s="129" t="inlineStr">
        <is>
          <t>OK — sources align</t>
        </is>
      </c>
      <c r="AG104" s="130" t="inlineStr">
        <is>
          <t>category-fallback</t>
        </is>
      </c>
      <c r="AH104" s="127">
        <f>IFERROR((AB104-AE104)/AE104,"—")</f>
        <v/>
      </c>
      <c r="AI104" s="127">
        <f>IFERROR((S104-AE104)/AE104,"—")</f>
        <v/>
      </c>
      <c r="AJ104" s="131">
        <f>IF(AD104&gt;1, "⚠ HIGH SPREAD", IF(ABS(AH104)&gt;0.5, "⚠ DELTA", "OK"))</f>
        <v/>
      </c>
    </row>
    <row r="105" ht="19.5" customHeight="1" s="56">
      <c r="A105" s="77" t="inlineStr">
        <is>
          <t>L. Concrete Paving</t>
        </is>
      </c>
    </row>
    <row r="106" ht="27.75" customHeight="1" s="56">
      <c r="A106" s="78" t="n"/>
      <c r="B106" s="78" t="inlineStr">
        <is>
          <t>B-04-003</t>
        </is>
      </c>
      <c r="C106" s="59" t="inlineStr">
        <is>
          <t>Concrete curb and gutter - S+F+P</t>
        </is>
      </c>
      <c r="D106" s="78" t="inlineStr">
        <is>
          <t>m</t>
        </is>
      </c>
      <c r="E106" s="79" t="n">
        <v>170</v>
      </c>
      <c r="F106" s="79" t="n">
        <v>278</v>
      </c>
      <c r="G106" s="79" t="n">
        <v>163</v>
      </c>
      <c r="H106" s="79" t="n">
        <v>270</v>
      </c>
      <c r="I106" s="80" t="n">
        <v>189</v>
      </c>
      <c r="J106" s="80" t="n">
        <v>313</v>
      </c>
      <c r="K106" s="80" t="n">
        <v>185</v>
      </c>
      <c r="L106" s="80" t="n">
        <v>286</v>
      </c>
      <c r="M106" s="81" t="n">
        <v>194</v>
      </c>
      <c r="N106" s="81" t="n">
        <v>358</v>
      </c>
      <c r="O106" s="81" t="n">
        <v>204</v>
      </c>
      <c r="P106" s="81" t="n">
        <v>344</v>
      </c>
      <c r="Q106" s="82" t="n">
        <v>240</v>
      </c>
      <c r="R106" s="82" t="n">
        <v>411</v>
      </c>
      <c r="S106" s="78" t="inlineStr">
        <is>
          <t>-</t>
        </is>
      </c>
      <c r="T106" s="83" t="n">
        <v>170.32</v>
      </c>
      <c r="U106" s="78" t="inlineStr">
        <is>
          <t>-</t>
        </is>
      </c>
      <c r="V106" s="132" t="inlineStr">
        <is>
          <t>—</t>
        </is>
      </c>
      <c r="W106" s="132" t="inlineStr">
        <is>
          <t>—</t>
        </is>
      </c>
      <c r="X106" s="132" t="inlineStr">
        <is>
          <t>—</t>
        </is>
      </c>
      <c r="Y106" s="133" t="inlineStr">
        <is>
          <t>—</t>
        </is>
      </c>
      <c r="Z106" s="132" t="inlineStr">
        <is>
          <t>—</t>
        </is>
      </c>
      <c r="AA106" s="134" t="inlineStr">
        <is>
          <t>—</t>
        </is>
      </c>
      <c r="AB106" s="134" t="inlineStr">
        <is>
          <t>—</t>
        </is>
      </c>
      <c r="AC106" s="132" t="inlineStr">
        <is>
          <t>—</t>
        </is>
      </c>
      <c r="AD106" s="132" t="inlineStr">
        <is>
          <t>—</t>
        </is>
      </c>
      <c r="AE106" s="128">
        <f>AVERAGE(G106,H106)</f>
        <v/>
      </c>
      <c r="AF106" s="129" t="inlineStr">
        <is>
          <t>No bidder data; SME only</t>
        </is>
      </c>
      <c r="AG106" s="130" t="inlineStr">
        <is>
          <t>no match</t>
        </is>
      </c>
      <c r="AH106" s="127">
        <f>IFERROR((AB106-AE106)/AE106,"—")</f>
        <v/>
      </c>
      <c r="AI106" s="127">
        <f>IFERROR((S106-AE106)/AE106,"—")</f>
        <v/>
      </c>
      <c r="AJ106" s="131" t="inlineStr">
        <is>
          <t>—</t>
        </is>
      </c>
    </row>
    <row r="107" ht="27.75" customHeight="1" s="56">
      <c r="A107" s="78" t="n"/>
      <c r="B107" s="78" t="inlineStr">
        <is>
          <t>B-04-002</t>
        </is>
      </c>
      <c r="C107" s="59" t="inlineStr">
        <is>
          <t>Concrete paving 250mm reinforced - S+P</t>
        </is>
      </c>
      <c r="D107" s="78" t="inlineStr">
        <is>
          <t>m2</t>
        </is>
      </c>
      <c r="E107" s="79" t="n">
        <v>202</v>
      </c>
      <c r="F107" s="79" t="n">
        <v>315</v>
      </c>
      <c r="G107" s="79" t="n">
        <v>194</v>
      </c>
      <c r="H107" s="79" t="n">
        <v>306</v>
      </c>
      <c r="I107" s="80" t="n">
        <v>224</v>
      </c>
      <c r="J107" s="80" t="n">
        <v>354</v>
      </c>
      <c r="K107" s="80" t="n">
        <v>220</v>
      </c>
      <c r="L107" s="80" t="n">
        <v>324</v>
      </c>
      <c r="M107" s="81" t="n">
        <v>231</v>
      </c>
      <c r="N107" s="81" t="n">
        <v>405</v>
      </c>
      <c r="O107" s="81" t="n">
        <v>242</v>
      </c>
      <c r="P107" s="81" t="n">
        <v>390</v>
      </c>
      <c r="Q107" s="82" t="n">
        <v>286</v>
      </c>
      <c r="R107" s="82" t="n">
        <v>465</v>
      </c>
      <c r="S107" s="83" t="n">
        <v>321.418064934138</v>
      </c>
      <c r="T107" s="78" t="inlineStr">
        <is>
          <t>-</t>
        </is>
      </c>
      <c r="U107" s="78" t="inlineStr">
        <is>
          <t>-</t>
        </is>
      </c>
      <c r="V107" s="132" t="inlineStr">
        <is>
          <t>—</t>
        </is>
      </c>
      <c r="W107" s="132" t="inlineStr">
        <is>
          <t>—</t>
        </is>
      </c>
      <c r="X107" s="132" t="inlineStr">
        <is>
          <t>—</t>
        </is>
      </c>
      <c r="Y107" s="133" t="inlineStr">
        <is>
          <t>—</t>
        </is>
      </c>
      <c r="Z107" s="132" t="inlineStr">
        <is>
          <t>—</t>
        </is>
      </c>
      <c r="AA107" s="134" t="inlineStr">
        <is>
          <t>—</t>
        </is>
      </c>
      <c r="AB107" s="134" t="inlineStr">
        <is>
          <t>—</t>
        </is>
      </c>
      <c r="AC107" s="132" t="inlineStr">
        <is>
          <t>—</t>
        </is>
      </c>
      <c r="AD107" s="132" t="inlineStr">
        <is>
          <t>—</t>
        </is>
      </c>
      <c r="AE107" s="128">
        <f>AVERAGE(G107,H107)</f>
        <v/>
      </c>
      <c r="AF107" s="129" t="inlineStr">
        <is>
          <t>No bidder data; SME only</t>
        </is>
      </c>
      <c r="AG107" s="130" t="inlineStr">
        <is>
          <t>no match</t>
        </is>
      </c>
      <c r="AH107" s="127">
        <f>IFERROR((AB107-AE107)/AE107,"—")</f>
        <v/>
      </c>
      <c r="AI107" s="127">
        <f>IFERROR((S107-AE107)/AE107,"—")</f>
        <v/>
      </c>
      <c r="AJ107" s="131" t="inlineStr">
        <is>
          <t>—</t>
        </is>
      </c>
    </row>
    <row r="108" ht="27.75" customHeight="1" s="56">
      <c r="A108" s="78" t="n"/>
      <c r="B108" s="78" t="inlineStr">
        <is>
          <t>B-04-004</t>
        </is>
      </c>
      <c r="C108" s="59" t="inlineStr">
        <is>
          <t>Concrete wheel wash pad - supply+construct</t>
        </is>
      </c>
      <c r="D108" s="78" t="inlineStr">
        <is>
          <t>ea</t>
        </is>
      </c>
      <c r="E108" s="79" t="n">
        <v>16560</v>
      </c>
      <c r="F108" s="79" t="n">
        <v>36750</v>
      </c>
      <c r="G108" s="79" t="n">
        <v>15840</v>
      </c>
      <c r="H108" s="79" t="n">
        <v>35700</v>
      </c>
      <c r="I108" s="80" t="n">
        <v>18360</v>
      </c>
      <c r="J108" s="80" t="n">
        <v>41300</v>
      </c>
      <c r="K108" s="80" t="n">
        <v>18000</v>
      </c>
      <c r="L108" s="80" t="n">
        <v>37800</v>
      </c>
      <c r="M108" s="81" t="n">
        <v>18900</v>
      </c>
      <c r="N108" s="81" t="n">
        <v>47250</v>
      </c>
      <c r="O108" s="81" t="n">
        <v>19800</v>
      </c>
      <c r="P108" s="81" t="n">
        <v>45500</v>
      </c>
      <c r="Q108" s="82" t="n">
        <v>23400</v>
      </c>
      <c r="R108" s="82" t="n">
        <v>54250</v>
      </c>
      <c r="S108" s="78" t="inlineStr">
        <is>
          <t>-</t>
        </is>
      </c>
      <c r="T108" s="78" t="inlineStr">
        <is>
          <t>-</t>
        </is>
      </c>
      <c r="U108" s="78" t="inlineStr">
        <is>
          <t>-</t>
        </is>
      </c>
      <c r="V108" s="123" t="n">
        <v>13500</v>
      </c>
      <c r="W108" s="123" t="n">
        <v>13822.43</v>
      </c>
      <c r="X108" s="123" t="n">
        <v>6201.82</v>
      </c>
      <c r="Y108" s="133" t="inlineStr">
        <is>
          <t>—</t>
        </is>
      </c>
      <c r="Z108" s="123" t="n">
        <v>30000</v>
      </c>
      <c r="AA108" s="124">
        <f>MIN(V108:Z108)</f>
        <v/>
      </c>
      <c r="AB108" s="125">
        <f>MEDIAN(V108:Z108)</f>
        <v/>
      </c>
      <c r="AC108" s="126">
        <f>MAX(V108:Z108)</f>
        <v/>
      </c>
      <c r="AD108" s="127">
        <f>IFERROR((AC108-AA108)/AB108,"—")</f>
        <v/>
      </c>
      <c r="AE108" s="128">
        <f>AVERAGE(G108,H108)</f>
        <v/>
      </c>
      <c r="AF108" s="129" t="inlineStr">
        <is>
          <t>OK — sources align</t>
        </is>
      </c>
      <c r="AG108" s="130" t="inlineStr">
        <is>
          <t>category-fallback</t>
        </is>
      </c>
      <c r="AH108" s="127">
        <f>IFERROR((AB108-AE108)/AE108,"—")</f>
        <v/>
      </c>
      <c r="AI108" s="127">
        <f>IFERROR((S108-AE108)/AE108,"—")</f>
        <v/>
      </c>
      <c r="AJ108" s="131">
        <f>IF(AD108&gt;1, "⚠ HIGH SPREAD", IF(ABS(AH108)&gt;0.5, "⚠ DELTA", "OK"))</f>
        <v/>
      </c>
    </row>
    <row r="109" ht="19.5" customHeight="1" s="56">
      <c r="A109" s="77" t="inlineStr">
        <is>
          <t>M. Fencing</t>
        </is>
      </c>
    </row>
    <row r="110" ht="27.75" customHeight="1" s="56">
      <c r="A110" s="78" t="n"/>
      <c r="B110" s="78" t="inlineStr">
        <is>
          <t>B-05-002</t>
        </is>
      </c>
      <c r="C110" s="59" t="inlineStr">
        <is>
          <t>Chain link fence 2.4m security - S+I</t>
        </is>
      </c>
      <c r="D110" s="78" t="inlineStr">
        <is>
          <t>m</t>
        </is>
      </c>
      <c r="E110" s="79" t="n">
        <v>101</v>
      </c>
      <c r="F110" s="79" t="n">
        <v>173</v>
      </c>
      <c r="G110" s="79" t="n">
        <v>97</v>
      </c>
      <c r="H110" s="79" t="n">
        <v>168</v>
      </c>
      <c r="I110" s="80" t="n">
        <v>112</v>
      </c>
      <c r="J110" s="80" t="n">
        <v>195</v>
      </c>
      <c r="K110" s="80" t="n">
        <v>110</v>
      </c>
      <c r="L110" s="80" t="n">
        <v>178</v>
      </c>
      <c r="M110" s="81" t="n">
        <v>116</v>
      </c>
      <c r="N110" s="81" t="n">
        <v>223</v>
      </c>
      <c r="O110" s="81" t="n">
        <v>121</v>
      </c>
      <c r="P110" s="81" t="n">
        <v>214</v>
      </c>
      <c r="Q110" s="82" t="n">
        <v>143</v>
      </c>
      <c r="R110" s="82" t="n">
        <v>256</v>
      </c>
      <c r="S110" s="78" t="inlineStr">
        <is>
          <t>-</t>
        </is>
      </c>
      <c r="T110" s="78" t="inlineStr">
        <is>
          <t>-</t>
        </is>
      </c>
      <c r="U110" s="78" t="inlineStr">
        <is>
          <t>-</t>
        </is>
      </c>
      <c r="V110" s="123" t="n">
        <v>22.7</v>
      </c>
      <c r="W110" s="123" t="n">
        <v>34.56</v>
      </c>
      <c r="X110" s="123" t="n">
        <v>23.4</v>
      </c>
      <c r="Y110" s="123" t="n">
        <v>10.59</v>
      </c>
      <c r="Z110" s="123" t="n">
        <v>12</v>
      </c>
      <c r="AA110" s="124">
        <f>MIN(V110:Z110)</f>
        <v/>
      </c>
      <c r="AB110" s="125">
        <f>MEDIAN(V110:Z110)</f>
        <v/>
      </c>
      <c r="AC110" s="126">
        <f>MAX(V110:Z110)</f>
        <v/>
      </c>
      <c r="AD110" s="127">
        <f>IFERROR((AC110-AA110)/AB110,"—")</f>
        <v/>
      </c>
      <c r="AE110" s="128">
        <f>AVERAGE(G110,H110)</f>
        <v/>
      </c>
      <c r="AF110" s="129" t="inlineStr">
        <is>
          <t>OK — sources align</t>
        </is>
      </c>
      <c r="AG110" s="130" t="inlineStr">
        <is>
          <t>category-fallback</t>
        </is>
      </c>
      <c r="AH110" s="127">
        <f>IFERROR((AB110-AE110)/AE110,"—")</f>
        <v/>
      </c>
      <c r="AI110" s="127">
        <f>IFERROR((S110-AE110)/AE110,"—")</f>
        <v/>
      </c>
      <c r="AJ110" s="131">
        <f>IF(AD110&gt;1, "⚠ HIGH SPREAD", IF(ABS(AH110)&gt;0.5, "⚠ DELTA", "OK"))</f>
        <v/>
      </c>
    </row>
    <row r="111" ht="27.75" customHeight="1" s="56">
      <c r="A111" s="78" t="n"/>
      <c r="B111" s="78" t="inlineStr">
        <is>
          <t>B-05-005</t>
        </is>
      </c>
      <c r="C111" s="59" t="inlineStr">
        <is>
          <t>Fence gate double swing 8m - S+I</t>
        </is>
      </c>
      <c r="D111" s="78" t="inlineStr">
        <is>
          <t>ea</t>
        </is>
      </c>
      <c r="E111" s="79" t="n">
        <v>3220</v>
      </c>
      <c r="F111" s="79" t="n">
        <v>6825</v>
      </c>
      <c r="G111" s="79" t="n">
        <v>3080</v>
      </c>
      <c r="H111" s="79" t="n">
        <v>6630</v>
      </c>
      <c r="I111" s="80" t="n">
        <v>3570</v>
      </c>
      <c r="J111" s="80" t="n">
        <v>7670</v>
      </c>
      <c r="K111" s="80" t="n">
        <v>3500</v>
      </c>
      <c r="L111" s="80" t="n">
        <v>7020</v>
      </c>
      <c r="M111" s="81" t="n">
        <v>3675</v>
      </c>
      <c r="N111" s="81" t="n">
        <v>8775</v>
      </c>
      <c r="O111" s="81" t="n">
        <v>3850</v>
      </c>
      <c r="P111" s="81" t="n">
        <v>8450</v>
      </c>
      <c r="Q111" s="82" t="n">
        <v>4550</v>
      </c>
      <c r="R111" s="82" t="n">
        <v>10075</v>
      </c>
      <c r="S111" s="83" t="n">
        <v>3700</v>
      </c>
      <c r="T111" s="78" t="inlineStr">
        <is>
          <t>-</t>
        </is>
      </c>
      <c r="U111" s="78" t="inlineStr">
        <is>
          <t>-</t>
        </is>
      </c>
      <c r="V111" s="123" t="n">
        <v>11900</v>
      </c>
      <c r="W111" s="123" t="n">
        <v>2764.49</v>
      </c>
      <c r="X111" s="123" t="n">
        <v>3203.53</v>
      </c>
      <c r="Y111" s="133" t="inlineStr">
        <is>
          <t>—</t>
        </is>
      </c>
      <c r="Z111" s="123" t="n">
        <v>5000</v>
      </c>
      <c r="AA111" s="124">
        <f>MIN(V111:Z111)</f>
        <v/>
      </c>
      <c r="AB111" s="125">
        <f>MEDIAN(V111:Z111)</f>
        <v/>
      </c>
      <c r="AC111" s="126">
        <f>MAX(V111:Z111)</f>
        <v/>
      </c>
      <c r="AD111" s="127">
        <f>IFERROR((AC111-AA111)/AB111,"—")</f>
        <v/>
      </c>
      <c r="AE111" s="128">
        <f>AVERAGE(G111,H111)</f>
        <v/>
      </c>
      <c r="AF111" s="129" t="inlineStr">
        <is>
          <t>OK — sources align</t>
        </is>
      </c>
      <c r="AG111" s="130" t="inlineStr">
        <is>
          <t>category-fallback; keyword-matched</t>
        </is>
      </c>
      <c r="AH111" s="127">
        <f>IFERROR((AB111-AE111)/AE111,"—")</f>
        <v/>
      </c>
      <c r="AI111" s="127">
        <f>IFERROR((S111-AE111)/AE111,"—")</f>
        <v/>
      </c>
      <c r="AJ111" s="131">
        <f>IF(AD111&gt;1, "⚠ HIGH SPREAD", IF(ABS(AH111)&gt;0.5, "⚠ DELTA", "OK"))</f>
        <v/>
      </c>
    </row>
    <row r="112" ht="27.75" customHeight="1" s="56">
      <c r="A112" s="78" t="n"/>
      <c r="B112" s="78" t="inlineStr">
        <is>
          <t>B-05-004</t>
        </is>
      </c>
      <c r="C112" s="59" t="inlineStr">
        <is>
          <t>Fence gate single swing 4m - S+I</t>
        </is>
      </c>
      <c r="D112" s="78" t="inlineStr">
        <is>
          <t>ea</t>
        </is>
      </c>
      <c r="E112" s="79" t="n">
        <v>1656</v>
      </c>
      <c r="F112" s="79" t="n">
        <v>3360</v>
      </c>
      <c r="G112" s="79" t="n">
        <v>1584</v>
      </c>
      <c r="H112" s="79" t="n">
        <v>3264</v>
      </c>
      <c r="I112" s="80" t="n">
        <v>1836</v>
      </c>
      <c r="J112" s="80" t="n">
        <v>3776</v>
      </c>
      <c r="K112" s="80" t="n">
        <v>1800</v>
      </c>
      <c r="L112" s="80" t="n">
        <v>3456</v>
      </c>
      <c r="M112" s="81" t="n">
        <v>1890</v>
      </c>
      <c r="N112" s="81" t="n">
        <v>4320</v>
      </c>
      <c r="O112" s="81" t="n">
        <v>1980</v>
      </c>
      <c r="P112" s="81" t="n">
        <v>4160</v>
      </c>
      <c r="Q112" s="82" t="n">
        <v>2340</v>
      </c>
      <c r="R112" s="82" t="n">
        <v>4960</v>
      </c>
      <c r="S112" s="83" t="n">
        <v>1540</v>
      </c>
      <c r="T112" s="78" t="inlineStr">
        <is>
          <t>-</t>
        </is>
      </c>
      <c r="U112" s="78" t="inlineStr">
        <is>
          <t>-</t>
        </is>
      </c>
      <c r="V112" s="123" t="n">
        <v>22700</v>
      </c>
      <c r="W112" s="123" t="n">
        <v>2764.49</v>
      </c>
      <c r="X112" s="123" t="n">
        <v>37517.91</v>
      </c>
      <c r="Y112" s="133" t="inlineStr">
        <is>
          <t>—</t>
        </is>
      </c>
      <c r="Z112" s="123" t="n">
        <v>5000</v>
      </c>
      <c r="AA112" s="124">
        <f>MIN(V112:Z112)</f>
        <v/>
      </c>
      <c r="AB112" s="125">
        <f>MEDIAN(V112:Z112)</f>
        <v/>
      </c>
      <c r="AC112" s="126">
        <f>MAX(V112:Z112)</f>
        <v/>
      </c>
      <c r="AD112" s="127">
        <f>IFERROR((AC112-AA112)/AB112,"—")</f>
        <v/>
      </c>
      <c r="AE112" s="128">
        <f>AVERAGE(G112,H112)</f>
        <v/>
      </c>
      <c r="AF112" s="129" t="inlineStr">
        <is>
          <t>OK — sources align</t>
        </is>
      </c>
      <c r="AG112" s="130" t="inlineStr">
        <is>
          <t>category-fallback</t>
        </is>
      </c>
      <c r="AH112" s="127">
        <f>IFERROR((AB112-AE112)/AE112,"—")</f>
        <v/>
      </c>
      <c r="AI112" s="127">
        <f>IFERROR((S112-AE112)/AE112,"—")</f>
        <v/>
      </c>
      <c r="AJ112" s="131">
        <f>IF(AD112&gt;1, "⚠ HIGH SPREAD", IF(ABS(AH112)&gt;0.5, "⚠ DELTA", "OK"))</f>
        <v/>
      </c>
    </row>
    <row r="113" ht="27.75" customHeight="1" s="56">
      <c r="A113" s="78" t="n"/>
      <c r="B113" s="78" t="inlineStr">
        <is>
          <t>B-05-003</t>
        </is>
      </c>
      <c r="C113" s="59" t="inlineStr">
        <is>
          <t>Wildlife exclusion fence 2.4m electrified</t>
        </is>
      </c>
      <c r="D113" s="78" t="inlineStr">
        <is>
          <t>m</t>
        </is>
      </c>
      <c r="E113" s="79" t="n">
        <v>152</v>
      </c>
      <c r="F113" s="79" t="n">
        <v>273</v>
      </c>
      <c r="G113" s="79" t="n">
        <v>145</v>
      </c>
      <c r="H113" s="79" t="n">
        <v>265</v>
      </c>
      <c r="I113" s="80" t="n">
        <v>168</v>
      </c>
      <c r="J113" s="80" t="n">
        <v>307</v>
      </c>
      <c r="K113" s="80" t="n">
        <v>165</v>
      </c>
      <c r="L113" s="80" t="n">
        <v>281</v>
      </c>
      <c r="M113" s="81" t="n">
        <v>173</v>
      </c>
      <c r="N113" s="81" t="n">
        <v>351</v>
      </c>
      <c r="O113" s="81" t="n">
        <v>182</v>
      </c>
      <c r="P113" s="81" t="n">
        <v>338</v>
      </c>
      <c r="Q113" s="82" t="n">
        <v>214</v>
      </c>
      <c r="R113" s="82" t="n">
        <v>403</v>
      </c>
      <c r="S113" s="78" t="inlineStr">
        <is>
          <t>-</t>
        </is>
      </c>
      <c r="T113" s="78" t="inlineStr">
        <is>
          <t>-</t>
        </is>
      </c>
      <c r="U113" s="78" t="inlineStr">
        <is>
          <t>-</t>
        </is>
      </c>
      <c r="V113" s="123" t="n">
        <v>22.7</v>
      </c>
      <c r="W113" s="123" t="n">
        <v>34.56</v>
      </c>
      <c r="X113" s="123" t="n">
        <v>23.4</v>
      </c>
      <c r="Y113" s="123" t="n">
        <v>10.59</v>
      </c>
      <c r="Z113" s="123" t="n">
        <v>12</v>
      </c>
      <c r="AA113" s="124">
        <f>MIN(V113:Z113)</f>
        <v/>
      </c>
      <c r="AB113" s="125">
        <f>MEDIAN(V113:Z113)</f>
        <v/>
      </c>
      <c r="AC113" s="126">
        <f>MAX(V113:Z113)</f>
        <v/>
      </c>
      <c r="AD113" s="127">
        <f>IFERROR((AC113-AA113)/AB113,"—")</f>
        <v/>
      </c>
      <c r="AE113" s="128">
        <f>AVERAGE(G113,H113)</f>
        <v/>
      </c>
      <c r="AF113" s="129" t="inlineStr">
        <is>
          <t>OK — sources align</t>
        </is>
      </c>
      <c r="AG113" s="130" t="inlineStr">
        <is>
          <t>category-fallback</t>
        </is>
      </c>
      <c r="AH113" s="127">
        <f>IFERROR((AB113-AE113)/AE113,"—")</f>
        <v/>
      </c>
      <c r="AI113" s="127">
        <f>IFERROR((S113-AE113)/AE113,"—")</f>
        <v/>
      </c>
      <c r="AJ113" s="131">
        <f>IF(AD113&gt;1, "⚠ HIGH SPREAD", IF(ABS(AH113)&gt;0.5, "⚠ DELTA", "OK"))</f>
        <v/>
      </c>
    </row>
    <row r="114" ht="19.5" customHeight="1" s="56">
      <c r="A114" s="77" t="inlineStr">
        <is>
          <t>N. Signage/Traffic</t>
        </is>
      </c>
    </row>
    <row r="115" ht="27.75" customHeight="1" s="56">
      <c r="A115" s="78" t="n"/>
      <c r="B115" s="78" t="inlineStr">
        <is>
          <t>B-06-003</t>
        </is>
      </c>
      <c r="C115" s="59" t="inlineStr">
        <is>
          <t>Dust suppression - calcium chloride</t>
        </is>
      </c>
      <c r="D115" s="78" t="inlineStr">
        <is>
          <t>tonne</t>
        </is>
      </c>
      <c r="E115" s="79" t="n">
        <v>414</v>
      </c>
      <c r="F115" s="79" t="n">
        <v>682</v>
      </c>
      <c r="G115" s="79" t="n">
        <v>396</v>
      </c>
      <c r="H115" s="79" t="n">
        <v>663</v>
      </c>
      <c r="I115" s="80" t="n">
        <v>459</v>
      </c>
      <c r="J115" s="80" t="n">
        <v>767</v>
      </c>
      <c r="K115" s="80" t="n">
        <v>450</v>
      </c>
      <c r="L115" s="80" t="n">
        <v>702</v>
      </c>
      <c r="M115" s="81" t="n">
        <v>472</v>
      </c>
      <c r="N115" s="81" t="n">
        <v>878</v>
      </c>
      <c r="O115" s="81" t="n">
        <v>495</v>
      </c>
      <c r="P115" s="81" t="n">
        <v>845</v>
      </c>
      <c r="Q115" s="82" t="n">
        <v>585</v>
      </c>
      <c r="R115" s="82" t="n">
        <v>1008</v>
      </c>
      <c r="S115" s="78" t="inlineStr">
        <is>
          <t>-</t>
        </is>
      </c>
      <c r="T115" s="78" t="inlineStr">
        <is>
          <t>-</t>
        </is>
      </c>
      <c r="U115" s="78" t="inlineStr">
        <is>
          <t>-</t>
        </is>
      </c>
      <c r="V115" s="132" t="inlineStr">
        <is>
          <t>—</t>
        </is>
      </c>
      <c r="W115" s="132" t="inlineStr">
        <is>
          <t>—</t>
        </is>
      </c>
      <c r="X115" s="132" t="inlineStr">
        <is>
          <t>—</t>
        </is>
      </c>
      <c r="Y115" s="133" t="inlineStr">
        <is>
          <t>—</t>
        </is>
      </c>
      <c r="Z115" s="132" t="inlineStr">
        <is>
          <t>—</t>
        </is>
      </c>
      <c r="AA115" s="134" t="inlineStr">
        <is>
          <t>—</t>
        </is>
      </c>
      <c r="AB115" s="134" t="inlineStr">
        <is>
          <t>—</t>
        </is>
      </c>
      <c r="AC115" s="132" t="inlineStr">
        <is>
          <t>—</t>
        </is>
      </c>
      <c r="AD115" s="132" t="inlineStr">
        <is>
          <t>—</t>
        </is>
      </c>
      <c r="AE115" s="128">
        <f>AVERAGE(G115,H115)</f>
        <v/>
      </c>
      <c r="AF115" s="129" t="inlineStr">
        <is>
          <t>No bidder data; SME only</t>
        </is>
      </c>
      <c r="AG115" s="130" t="inlineStr">
        <is>
          <t>no match</t>
        </is>
      </c>
      <c r="AH115" s="127">
        <f>IFERROR((AB115-AE115)/AE115,"—")</f>
        <v/>
      </c>
      <c r="AI115" s="127">
        <f>IFERROR((S115-AE115)/AE115,"—")</f>
        <v/>
      </c>
      <c r="AJ115" s="131" t="inlineStr">
        <is>
          <t>—</t>
        </is>
      </c>
    </row>
    <row r="116" ht="27.75" customHeight="1" s="56">
      <c r="A116" s="78" t="n"/>
      <c r="B116" s="78" t="inlineStr">
        <is>
          <t>B-06-002</t>
        </is>
      </c>
      <c r="C116" s="59" t="inlineStr">
        <is>
          <t>Traffic control flagging - per shift</t>
        </is>
      </c>
      <c r="D116" s="78" t="inlineStr">
        <is>
          <t>shift</t>
        </is>
      </c>
      <c r="E116" s="79" t="n">
        <v>782</v>
      </c>
      <c r="F116" s="79" t="n">
        <v>1260</v>
      </c>
      <c r="G116" s="79" t="n">
        <v>748</v>
      </c>
      <c r="H116" s="79" t="n">
        <v>1224</v>
      </c>
      <c r="I116" s="80" t="n">
        <v>867</v>
      </c>
      <c r="J116" s="80" t="n">
        <v>1416</v>
      </c>
      <c r="K116" s="80" t="n">
        <v>850</v>
      </c>
      <c r="L116" s="80" t="n">
        <v>1296</v>
      </c>
      <c r="M116" s="81" t="n">
        <v>892</v>
      </c>
      <c r="N116" s="81" t="n">
        <v>1620</v>
      </c>
      <c r="O116" s="81" t="n">
        <v>935</v>
      </c>
      <c r="P116" s="81" t="n">
        <v>1560</v>
      </c>
      <c r="Q116" s="82" t="n">
        <v>1105</v>
      </c>
      <c r="R116" s="82" t="n">
        <v>1860</v>
      </c>
      <c r="S116" s="78" t="inlineStr">
        <is>
          <t>-</t>
        </is>
      </c>
      <c r="T116" s="78" t="inlineStr">
        <is>
          <t>-</t>
        </is>
      </c>
      <c r="U116" s="78" t="inlineStr">
        <is>
          <t>-</t>
        </is>
      </c>
      <c r="V116" s="132" t="inlineStr">
        <is>
          <t>—</t>
        </is>
      </c>
      <c r="W116" s="132" t="inlineStr">
        <is>
          <t>—</t>
        </is>
      </c>
      <c r="X116" s="132" t="inlineStr">
        <is>
          <t>—</t>
        </is>
      </c>
      <c r="Y116" s="133" t="inlineStr">
        <is>
          <t>—</t>
        </is>
      </c>
      <c r="Z116" s="132" t="inlineStr">
        <is>
          <t>—</t>
        </is>
      </c>
      <c r="AA116" s="134" t="inlineStr">
        <is>
          <t>—</t>
        </is>
      </c>
      <c r="AB116" s="134" t="inlineStr">
        <is>
          <t>—</t>
        </is>
      </c>
      <c r="AC116" s="132" t="inlineStr">
        <is>
          <t>—</t>
        </is>
      </c>
      <c r="AD116" s="132" t="inlineStr">
        <is>
          <t>—</t>
        </is>
      </c>
      <c r="AE116" s="128">
        <f>AVERAGE(G116,H116)</f>
        <v/>
      </c>
      <c r="AF116" s="129" t="inlineStr">
        <is>
          <t>No bidder data; SME only</t>
        </is>
      </c>
      <c r="AG116" s="130" t="inlineStr">
        <is>
          <t>no match</t>
        </is>
      </c>
      <c r="AH116" s="127">
        <f>IFERROR((AB116-AE116)/AE116,"—")</f>
        <v/>
      </c>
      <c r="AI116" s="127">
        <f>IFERROR((S116-AE116)/AE116,"—")</f>
        <v/>
      </c>
      <c r="AJ116" s="131" t="inlineStr">
        <is>
          <t>—</t>
        </is>
      </c>
    </row>
    <row r="117" ht="19.5" customHeight="1" s="56">
      <c r="A117" s="77" t="inlineStr">
        <is>
          <t>O. Rock Anchors</t>
        </is>
      </c>
    </row>
    <row r="118" ht="27.75" customHeight="1" s="56">
      <c r="A118" s="78" t="n"/>
      <c r="B118" s="78" t="inlineStr">
        <is>
          <t>B-07-002</t>
        </is>
      </c>
      <c r="C118" s="59" t="inlineStr">
        <is>
          <t>Rock anchor active tensioned 32mm strand</t>
        </is>
      </c>
      <c r="D118" s="78" t="inlineStr">
        <is>
          <t>ea</t>
        </is>
      </c>
      <c r="E118" s="79" t="n">
        <v>2300</v>
      </c>
      <c r="F118" s="79" t="n">
        <v>5775</v>
      </c>
      <c r="G118" s="79" t="n">
        <v>2200</v>
      </c>
      <c r="H118" s="79" t="n">
        <v>5610</v>
      </c>
      <c r="I118" s="80" t="n">
        <v>2550</v>
      </c>
      <c r="J118" s="80" t="n">
        <v>6490</v>
      </c>
      <c r="K118" s="80" t="n">
        <v>2500</v>
      </c>
      <c r="L118" s="80" t="n">
        <v>5940</v>
      </c>
      <c r="M118" s="81" t="n">
        <v>2625</v>
      </c>
      <c r="N118" s="81" t="n">
        <v>7425</v>
      </c>
      <c r="O118" s="81" t="n">
        <v>2750</v>
      </c>
      <c r="P118" s="81" t="n">
        <v>7150</v>
      </c>
      <c r="Q118" s="82" t="n">
        <v>3250</v>
      </c>
      <c r="R118" s="82" t="n">
        <v>8525</v>
      </c>
      <c r="S118" s="78" t="inlineStr">
        <is>
          <t>-</t>
        </is>
      </c>
      <c r="T118" s="78" t="inlineStr">
        <is>
          <t>-</t>
        </is>
      </c>
      <c r="U118" s="78" t="inlineStr">
        <is>
          <t>-</t>
        </is>
      </c>
      <c r="V118" s="132" t="inlineStr">
        <is>
          <t>—</t>
        </is>
      </c>
      <c r="W118" s="132" t="inlineStr">
        <is>
          <t>—</t>
        </is>
      </c>
      <c r="X118" s="132" t="inlineStr">
        <is>
          <t>—</t>
        </is>
      </c>
      <c r="Y118" s="133" t="inlineStr">
        <is>
          <t>—</t>
        </is>
      </c>
      <c r="Z118" s="132" t="inlineStr">
        <is>
          <t>—</t>
        </is>
      </c>
      <c r="AA118" s="134" t="inlineStr">
        <is>
          <t>—</t>
        </is>
      </c>
      <c r="AB118" s="134" t="inlineStr">
        <is>
          <t>—</t>
        </is>
      </c>
      <c r="AC118" s="132" t="inlineStr">
        <is>
          <t>—</t>
        </is>
      </c>
      <c r="AD118" s="132" t="inlineStr">
        <is>
          <t>—</t>
        </is>
      </c>
      <c r="AE118" s="128">
        <f>AVERAGE(G118,H118)</f>
        <v/>
      </c>
      <c r="AF118" s="129" t="inlineStr">
        <is>
          <t>No bidder data; SME only</t>
        </is>
      </c>
      <c r="AG118" s="130" t="inlineStr">
        <is>
          <t>no match</t>
        </is>
      </c>
      <c r="AH118" s="127">
        <f>IFERROR((AB118-AE118)/AE118,"—")</f>
        <v/>
      </c>
      <c r="AI118" s="127">
        <f>IFERROR((S118-AE118)/AE118,"—")</f>
        <v/>
      </c>
      <c r="AJ118" s="131" t="inlineStr">
        <is>
          <t>—</t>
        </is>
      </c>
    </row>
    <row r="119" ht="27.75" customHeight="1" s="56">
      <c r="A119" s="78" t="n"/>
      <c r="B119" s="78" t="inlineStr">
        <is>
          <t>B-07-004</t>
        </is>
      </c>
      <c r="C119" s="59" t="inlineStr">
        <is>
          <t>Shotcrete with fibre 75mm - supply+apply</t>
        </is>
      </c>
      <c r="D119" s="78" t="inlineStr">
        <is>
          <t>m2</t>
        </is>
      </c>
      <c r="E119" s="79" t="n">
        <v>110</v>
      </c>
      <c r="F119" s="79" t="n">
        <v>205</v>
      </c>
      <c r="G119" s="79" t="n">
        <v>106</v>
      </c>
      <c r="H119" s="79" t="n">
        <v>199</v>
      </c>
      <c r="I119" s="80" t="n">
        <v>122</v>
      </c>
      <c r="J119" s="80" t="n">
        <v>230</v>
      </c>
      <c r="K119" s="80" t="n">
        <v>120</v>
      </c>
      <c r="L119" s="80" t="n">
        <v>211</v>
      </c>
      <c r="M119" s="81" t="n">
        <v>126</v>
      </c>
      <c r="N119" s="81" t="n">
        <v>263</v>
      </c>
      <c r="O119" s="81" t="n">
        <v>132</v>
      </c>
      <c r="P119" s="81" t="n">
        <v>254</v>
      </c>
      <c r="Q119" s="82" t="n">
        <v>156</v>
      </c>
      <c r="R119" s="82" t="n">
        <v>302</v>
      </c>
      <c r="S119" s="78" t="inlineStr">
        <is>
          <t>-</t>
        </is>
      </c>
      <c r="T119" s="78" t="inlineStr">
        <is>
          <t>-</t>
        </is>
      </c>
      <c r="U119" s="78" t="inlineStr">
        <is>
          <t>-</t>
        </is>
      </c>
      <c r="V119" s="123" t="n">
        <v>2.3</v>
      </c>
      <c r="W119" s="135" t="inlineStr">
        <is>
          <t>—</t>
        </is>
      </c>
      <c r="X119" s="135" t="inlineStr">
        <is>
          <t>—</t>
        </is>
      </c>
      <c r="Y119" s="133" t="inlineStr">
        <is>
          <t>—</t>
        </is>
      </c>
      <c r="Z119" s="123" t="n">
        <v>5</v>
      </c>
      <c r="AA119" s="124">
        <f>MIN(V119:Z119)</f>
        <v/>
      </c>
      <c r="AB119" s="125">
        <f>MEDIAN(V119:Z119)</f>
        <v/>
      </c>
      <c r="AC119" s="126">
        <f>MAX(V119:Z119)</f>
        <v/>
      </c>
      <c r="AD119" s="127">
        <f>IFERROR((AC119-AA119)/AB119,"—")</f>
        <v/>
      </c>
      <c r="AE119" s="128">
        <f>AVERAGE(G119,H119)</f>
        <v/>
      </c>
      <c r="AF119" s="129" t="inlineStr">
        <is>
          <t>Only 2/5 bidders priced — limited market signal</t>
        </is>
      </c>
      <c r="AG119" s="130" t="inlineStr">
        <is>
          <t>category-fallback</t>
        </is>
      </c>
      <c r="AH119" s="127">
        <f>IFERROR((AB119-AE119)/AE119,"—")</f>
        <v/>
      </c>
      <c r="AI119" s="127">
        <f>IFERROR((S119-AE119)/AE119,"—")</f>
        <v/>
      </c>
      <c r="AJ119" s="131" t="inlineStr">
        <is>
          <t>—</t>
        </is>
      </c>
    </row>
    <row r="120" ht="27.75" customHeight="1" s="56">
      <c r="A120" s="78" t="n"/>
      <c r="B120" s="78" t="inlineStr">
        <is>
          <t>B-07-005</t>
        </is>
      </c>
      <c r="C120" s="59" t="inlineStr">
        <is>
          <t>Shotcrete with wire mesh 100mm - S+A</t>
        </is>
      </c>
      <c r="D120" s="78" t="inlineStr">
        <is>
          <t>m2</t>
        </is>
      </c>
      <c r="E120" s="79" t="n">
        <v>152</v>
      </c>
      <c r="F120" s="79" t="n">
        <v>262</v>
      </c>
      <c r="G120" s="79" t="n">
        <v>145</v>
      </c>
      <c r="H120" s="79" t="n">
        <v>255</v>
      </c>
      <c r="I120" s="80" t="n">
        <v>168</v>
      </c>
      <c r="J120" s="80" t="n">
        <v>295</v>
      </c>
      <c r="K120" s="80" t="n">
        <v>165</v>
      </c>
      <c r="L120" s="80" t="n">
        <v>270</v>
      </c>
      <c r="M120" s="81" t="n">
        <v>173</v>
      </c>
      <c r="N120" s="81" t="n">
        <v>338</v>
      </c>
      <c r="O120" s="81" t="n">
        <v>182</v>
      </c>
      <c r="P120" s="81" t="n">
        <v>325</v>
      </c>
      <c r="Q120" s="82" t="n">
        <v>214</v>
      </c>
      <c r="R120" s="82" t="n">
        <v>388</v>
      </c>
      <c r="S120" s="83" t="n">
        <v>7443.55900415871</v>
      </c>
      <c r="T120" s="78" t="inlineStr">
        <is>
          <t>-</t>
        </is>
      </c>
      <c r="U120" s="78" t="inlineStr">
        <is>
          <t>-</t>
        </is>
      </c>
      <c r="V120" s="132" t="inlineStr">
        <is>
          <t>—</t>
        </is>
      </c>
      <c r="W120" s="132" t="inlineStr">
        <is>
          <t>—</t>
        </is>
      </c>
      <c r="X120" s="132" t="inlineStr">
        <is>
          <t>—</t>
        </is>
      </c>
      <c r="Y120" s="133" t="inlineStr">
        <is>
          <t>—</t>
        </is>
      </c>
      <c r="Z120" s="132" t="inlineStr">
        <is>
          <t>—</t>
        </is>
      </c>
      <c r="AA120" s="134" t="inlineStr">
        <is>
          <t>—</t>
        </is>
      </c>
      <c r="AB120" s="134" t="inlineStr">
        <is>
          <t>—</t>
        </is>
      </c>
      <c r="AC120" s="132" t="inlineStr">
        <is>
          <t>—</t>
        </is>
      </c>
      <c r="AD120" s="132" t="inlineStr">
        <is>
          <t>—</t>
        </is>
      </c>
      <c r="AE120" s="128">
        <f>AVERAGE(G120,H120)</f>
        <v/>
      </c>
      <c r="AF120" s="129" t="inlineStr">
        <is>
          <t>No bidder data; SME only</t>
        </is>
      </c>
      <c r="AG120" s="130" t="inlineStr">
        <is>
          <t>no match</t>
        </is>
      </c>
      <c r="AH120" s="127">
        <f>IFERROR((AB120-AE120)/AE120,"—")</f>
        <v/>
      </c>
      <c r="AI120" s="127">
        <f>IFERROR((S120-AE120)/AE120,"—")</f>
        <v/>
      </c>
      <c r="AJ120" s="131" t="inlineStr">
        <is>
          <t>—</t>
        </is>
      </c>
    </row>
    <row r="121" ht="27.75" customHeight="1" s="56">
      <c r="A121" s="78" t="n"/>
      <c r="B121" s="78" t="inlineStr">
        <is>
          <t>B-07-003</t>
        </is>
      </c>
      <c r="C121" s="59" t="inlineStr">
        <is>
          <t>Wire mesh rockfall protection - supply+pin</t>
        </is>
      </c>
      <c r="D121" s="78" t="inlineStr">
        <is>
          <t>m2</t>
        </is>
      </c>
      <c r="E121" s="79" t="n">
        <v>60</v>
      </c>
      <c r="F121" s="79" t="n">
        <v>126</v>
      </c>
      <c r="G121" s="79" t="n">
        <v>57</v>
      </c>
      <c r="H121" s="79" t="n">
        <v>122</v>
      </c>
      <c r="I121" s="80" t="n">
        <v>66</v>
      </c>
      <c r="J121" s="80" t="n">
        <v>142</v>
      </c>
      <c r="K121" s="80" t="n">
        <v>65</v>
      </c>
      <c r="L121" s="80" t="n">
        <v>130</v>
      </c>
      <c r="M121" s="81" t="n">
        <v>68</v>
      </c>
      <c r="N121" s="81" t="n">
        <v>162</v>
      </c>
      <c r="O121" s="81" t="n">
        <v>72</v>
      </c>
      <c r="P121" s="81" t="n">
        <v>156</v>
      </c>
      <c r="Q121" s="82" t="n">
        <v>84</v>
      </c>
      <c r="R121" s="82" t="n">
        <v>186</v>
      </c>
      <c r="S121" s="83" t="n">
        <v>7443.55900415871</v>
      </c>
      <c r="T121" s="78" t="inlineStr">
        <is>
          <t>-</t>
        </is>
      </c>
      <c r="U121" s="78" t="inlineStr">
        <is>
          <t>-</t>
        </is>
      </c>
      <c r="V121" s="132" t="inlineStr">
        <is>
          <t>—</t>
        </is>
      </c>
      <c r="W121" s="132" t="inlineStr">
        <is>
          <t>—</t>
        </is>
      </c>
      <c r="X121" s="132" t="inlineStr">
        <is>
          <t>—</t>
        </is>
      </c>
      <c r="Y121" s="133" t="inlineStr">
        <is>
          <t>—</t>
        </is>
      </c>
      <c r="Z121" s="132" t="inlineStr">
        <is>
          <t>—</t>
        </is>
      </c>
      <c r="AA121" s="134" t="inlineStr">
        <is>
          <t>—</t>
        </is>
      </c>
      <c r="AB121" s="134" t="inlineStr">
        <is>
          <t>—</t>
        </is>
      </c>
      <c r="AC121" s="132" t="inlineStr">
        <is>
          <t>—</t>
        </is>
      </c>
      <c r="AD121" s="132" t="inlineStr">
        <is>
          <t>—</t>
        </is>
      </c>
      <c r="AE121" s="128">
        <f>AVERAGE(G121,H121)</f>
        <v/>
      </c>
      <c r="AF121" s="129" t="inlineStr">
        <is>
          <t>No bidder data; SME only</t>
        </is>
      </c>
      <c r="AG121" s="130" t="inlineStr">
        <is>
          <t>no match</t>
        </is>
      </c>
      <c r="AH121" s="127">
        <f>IFERROR((AB121-AE121)/AE121,"—")</f>
        <v/>
      </c>
      <c r="AI121" s="127">
        <f>IFERROR((S121-AE121)/AE121,"—")</f>
        <v/>
      </c>
      <c r="AJ121" s="131" t="inlineStr">
        <is>
          <t>—</t>
        </is>
      </c>
    </row>
    <row r="122" ht="19.5" customHeight="1" s="56">
      <c r="A122" s="77" t="inlineStr">
        <is>
          <t>P. Culvert Structures</t>
        </is>
      </c>
    </row>
    <row r="123" ht="27.75" customHeight="1" s="56">
      <c r="A123" s="78" t="n"/>
      <c r="B123" s="78" t="inlineStr">
        <is>
          <t>B-08-004</t>
        </is>
      </c>
      <c r="C123" s="59" t="inlineStr">
        <is>
          <t>Headwall concrete - supply+form+pour</t>
        </is>
      </c>
      <c r="D123" s="78" t="inlineStr">
        <is>
          <t>ea</t>
        </is>
      </c>
      <c r="E123" s="79" t="n">
        <v>7820</v>
      </c>
      <c r="F123" s="79" t="n">
        <v>16800</v>
      </c>
      <c r="G123" s="79" t="n">
        <v>7480</v>
      </c>
      <c r="H123" s="79" t="n">
        <v>16320</v>
      </c>
      <c r="I123" s="80" t="n">
        <v>8670</v>
      </c>
      <c r="J123" s="80" t="n">
        <v>18880</v>
      </c>
      <c r="K123" s="80" t="n">
        <v>8500</v>
      </c>
      <c r="L123" s="80" t="n">
        <v>17280</v>
      </c>
      <c r="M123" s="81" t="n">
        <v>8925</v>
      </c>
      <c r="N123" s="81" t="n">
        <v>21600</v>
      </c>
      <c r="O123" s="81" t="n">
        <v>9350</v>
      </c>
      <c r="P123" s="81" t="n">
        <v>20800</v>
      </c>
      <c r="Q123" s="82" t="n">
        <v>11050</v>
      </c>
      <c r="R123" s="82" t="n">
        <v>24800</v>
      </c>
      <c r="S123" s="78" t="inlineStr">
        <is>
          <t>-</t>
        </is>
      </c>
      <c r="T123" s="78" t="inlineStr">
        <is>
          <t>-</t>
        </is>
      </c>
      <c r="U123" s="78" t="inlineStr">
        <is>
          <t>-</t>
        </is>
      </c>
      <c r="V123" s="123" t="n">
        <v>13500</v>
      </c>
      <c r="W123" s="123" t="n">
        <v>13822.43</v>
      </c>
      <c r="X123" s="123" t="n">
        <v>6201.82</v>
      </c>
      <c r="Y123" s="133" t="inlineStr">
        <is>
          <t>—</t>
        </is>
      </c>
      <c r="Z123" s="123" t="n">
        <v>30000</v>
      </c>
      <c r="AA123" s="124">
        <f>MIN(V123:Z123)</f>
        <v/>
      </c>
      <c r="AB123" s="125">
        <f>MEDIAN(V123:Z123)</f>
        <v/>
      </c>
      <c r="AC123" s="126">
        <f>MAX(V123:Z123)</f>
        <v/>
      </c>
      <c r="AD123" s="127">
        <f>IFERROR((AC123-AA123)/AB123,"—")</f>
        <v/>
      </c>
      <c r="AE123" s="128">
        <f>AVERAGE(G123,H123)</f>
        <v/>
      </c>
      <c r="AF123" s="129" t="inlineStr">
        <is>
          <t>OK — sources align</t>
        </is>
      </c>
      <c r="AG123" s="130" t="inlineStr">
        <is>
          <t>category-fallback</t>
        </is>
      </c>
      <c r="AH123" s="127">
        <f>IFERROR((AB123-AE123)/AE123,"—")</f>
        <v/>
      </c>
      <c r="AI123" s="127">
        <f>IFERROR((S123-AE123)/AE123,"—")</f>
        <v/>
      </c>
      <c r="AJ123" s="131">
        <f>IF(AD123&gt;1, "⚠ HIGH SPREAD", IF(ABS(AH123)&gt;0.5, "⚠ DELTA", "OK"))</f>
        <v/>
      </c>
    </row>
    <row r="124" ht="27.75" customHeight="1" s="56">
      <c r="A124" s="78" t="n"/>
      <c r="B124" s="78" t="inlineStr">
        <is>
          <t>B-08-003</t>
        </is>
      </c>
      <c r="C124" s="59" t="inlineStr">
        <is>
          <t>Precast arch culvert 3000mm span - S+I</t>
        </is>
      </c>
      <c r="D124" s="78" t="inlineStr">
        <is>
          <t>m</t>
        </is>
      </c>
      <c r="E124" s="79" t="n">
        <v>4140</v>
      </c>
      <c r="F124" s="79" t="n">
        <v>8925</v>
      </c>
      <c r="G124" s="79" t="n">
        <v>3960</v>
      </c>
      <c r="H124" s="79" t="n">
        <v>8670</v>
      </c>
      <c r="I124" s="80" t="n">
        <v>4590</v>
      </c>
      <c r="J124" s="80" t="n">
        <v>10030</v>
      </c>
      <c r="K124" s="80" t="n">
        <v>4500</v>
      </c>
      <c r="L124" s="80" t="n">
        <v>9180</v>
      </c>
      <c r="M124" s="81" t="n">
        <v>4725</v>
      </c>
      <c r="N124" s="81" t="n">
        <v>11475</v>
      </c>
      <c r="O124" s="81" t="n">
        <v>4950</v>
      </c>
      <c r="P124" s="81" t="n">
        <v>11050</v>
      </c>
      <c r="Q124" s="82" t="n">
        <v>5850</v>
      </c>
      <c r="R124" s="82" t="n">
        <v>13175</v>
      </c>
      <c r="S124" s="78" t="inlineStr">
        <is>
          <t>-</t>
        </is>
      </c>
      <c r="T124" s="78" t="inlineStr">
        <is>
          <t>-</t>
        </is>
      </c>
      <c r="U124" s="78" t="inlineStr">
        <is>
          <t>-</t>
        </is>
      </c>
      <c r="V124" s="123" t="n">
        <v>1160</v>
      </c>
      <c r="W124" s="123" t="n">
        <v>5426.83</v>
      </c>
      <c r="X124" s="123" t="n">
        <v>4755.47</v>
      </c>
      <c r="Y124" s="123" t="n">
        <v>1812.2</v>
      </c>
      <c r="Z124" s="123" t="n">
        <v>9250</v>
      </c>
      <c r="AA124" s="124">
        <f>MIN(V124:Z124)</f>
        <v/>
      </c>
      <c r="AB124" s="125">
        <f>MEDIAN(V124:Z124)</f>
        <v/>
      </c>
      <c r="AC124" s="126">
        <f>MAX(V124:Z124)</f>
        <v/>
      </c>
      <c r="AD124" s="127">
        <f>IFERROR((AC124-AA124)/AB124,"—")</f>
        <v/>
      </c>
      <c r="AE124" s="128">
        <f>AVERAGE(G124,H124)</f>
        <v/>
      </c>
      <c r="AF124" s="129" t="inlineStr">
        <is>
          <t>OK — sources align</t>
        </is>
      </c>
      <c r="AG124" s="130" t="inlineStr">
        <is>
          <t>keyword-matched</t>
        </is>
      </c>
      <c r="AH124" s="127">
        <f>IFERROR((AB124-AE124)/AE124,"—")</f>
        <v/>
      </c>
      <c r="AI124" s="127">
        <f>IFERROR((S124-AE124)/AE124,"—")</f>
        <v/>
      </c>
      <c r="AJ124" s="131">
        <f>IF(AD124&gt;1, "⚠ HIGH SPREAD", IF(ABS(AH124)&gt;0.5, "⚠ DELTA", "OK"))</f>
        <v/>
      </c>
    </row>
    <row r="125" ht="27.75" customHeight="1" s="56">
      <c r="A125" s="78" t="n"/>
      <c r="B125" s="78" t="inlineStr">
        <is>
          <t>B-08-002</t>
        </is>
      </c>
      <c r="C125" s="59" t="inlineStr">
        <is>
          <t>Precast box culvert 2400x1800mm - S+I</t>
        </is>
      </c>
      <c r="D125" s="78" t="inlineStr">
        <is>
          <t>m</t>
        </is>
      </c>
      <c r="E125" s="79" t="n">
        <v>5980</v>
      </c>
      <c r="F125" s="79" t="n">
        <v>11025</v>
      </c>
      <c r="G125" s="79" t="n">
        <v>5720</v>
      </c>
      <c r="H125" s="79" t="n">
        <v>10710</v>
      </c>
      <c r="I125" s="80" t="n">
        <v>6630</v>
      </c>
      <c r="J125" s="80" t="n">
        <v>12390</v>
      </c>
      <c r="K125" s="80" t="n">
        <v>6500</v>
      </c>
      <c r="L125" s="80" t="n">
        <v>11340</v>
      </c>
      <c r="M125" s="81" t="n">
        <v>6825</v>
      </c>
      <c r="N125" s="81" t="n">
        <v>14175</v>
      </c>
      <c r="O125" s="81" t="n">
        <v>7150</v>
      </c>
      <c r="P125" s="81" t="n">
        <v>13650</v>
      </c>
      <c r="Q125" s="82" t="n">
        <v>8450</v>
      </c>
      <c r="R125" s="82" t="n">
        <v>16275</v>
      </c>
      <c r="S125" s="78" t="inlineStr">
        <is>
          <t>-</t>
        </is>
      </c>
      <c r="T125" s="78" t="inlineStr">
        <is>
          <t>-</t>
        </is>
      </c>
      <c r="U125" s="78" t="inlineStr">
        <is>
          <t>-</t>
        </is>
      </c>
      <c r="V125" s="123" t="n">
        <v>1530</v>
      </c>
      <c r="W125" s="123" t="n">
        <v>5426.83</v>
      </c>
      <c r="X125" s="123" t="n">
        <v>4755.47</v>
      </c>
      <c r="Y125" s="123" t="n">
        <v>1553.31</v>
      </c>
      <c r="Z125" s="123" t="n">
        <v>9250</v>
      </c>
      <c r="AA125" s="124">
        <f>MIN(V125:Z125)</f>
        <v/>
      </c>
      <c r="AB125" s="125">
        <f>MEDIAN(V125:Z125)</f>
        <v/>
      </c>
      <c r="AC125" s="126">
        <f>MAX(V125:Z125)</f>
        <v/>
      </c>
      <c r="AD125" s="127">
        <f>IFERROR((AC125-AA125)/AB125,"—")</f>
        <v/>
      </c>
      <c r="AE125" s="128">
        <f>AVERAGE(G125,H125)</f>
        <v/>
      </c>
      <c r="AF125" s="129" t="inlineStr">
        <is>
          <t>OK — sources align</t>
        </is>
      </c>
      <c r="AG125" s="130" t="inlineStr">
        <is>
          <t>category-fallback</t>
        </is>
      </c>
      <c r="AH125" s="127">
        <f>IFERROR((AB125-AE125)/AE125,"—")</f>
        <v/>
      </c>
      <c r="AI125" s="127">
        <f>IFERROR((S125-AE125)/AE125,"—")</f>
        <v/>
      </c>
      <c r="AJ125" s="131">
        <f>IF(AD125&gt;1, "⚠ HIGH SPREAD", IF(ABS(AH125)&gt;0.5, "⚠ DELTA", "OK"))</f>
        <v/>
      </c>
    </row>
    <row r="126" ht="19.5" customHeight="1" s="56">
      <c r="A126" s="77" t="inlineStr">
        <is>
          <t>Q. Crushing</t>
        </is>
      </c>
    </row>
    <row r="127" ht="27.75" customHeight="1" s="56">
      <c r="A127" s="78" t="n"/>
      <c r="B127" s="78" t="inlineStr">
        <is>
          <t>B-09-002</t>
        </is>
      </c>
      <c r="C127" s="59" t="inlineStr">
        <is>
          <t>Crushing Granular A/B (on-site portable plant)</t>
        </is>
      </c>
      <c r="D127" s="78" t="inlineStr">
        <is>
          <t>tonne</t>
        </is>
      </c>
      <c r="E127" s="79" t="n">
        <v>17</v>
      </c>
      <c r="F127" s="79" t="n">
        <v>37</v>
      </c>
      <c r="G127" s="79" t="n">
        <v>16</v>
      </c>
      <c r="H127" s="79" t="n">
        <v>36</v>
      </c>
      <c r="I127" s="80" t="n">
        <v>18</v>
      </c>
      <c r="J127" s="80" t="n">
        <v>41</v>
      </c>
      <c r="K127" s="80" t="n">
        <v>18</v>
      </c>
      <c r="L127" s="80" t="n">
        <v>38</v>
      </c>
      <c r="M127" s="81" t="n">
        <v>19</v>
      </c>
      <c r="N127" s="81" t="n">
        <v>47</v>
      </c>
      <c r="O127" s="81" t="n">
        <v>20</v>
      </c>
      <c r="P127" s="81" t="n">
        <v>46</v>
      </c>
      <c r="Q127" s="82" t="n">
        <v>23</v>
      </c>
      <c r="R127" s="82" t="n">
        <v>54</v>
      </c>
      <c r="S127" s="78" t="inlineStr">
        <is>
          <t>-</t>
        </is>
      </c>
      <c r="T127" s="78" t="inlineStr">
        <is>
          <t>-</t>
        </is>
      </c>
      <c r="U127" s="83" t="n">
        <v>26.5</v>
      </c>
      <c r="V127" s="123" t="n">
        <v>40.75</v>
      </c>
      <c r="W127" s="123" t="n">
        <v>51.94</v>
      </c>
      <c r="X127" s="123" t="n">
        <v>19.88</v>
      </c>
      <c r="Y127" s="123" t="n">
        <v>46.83</v>
      </c>
      <c r="Z127" s="123" t="n">
        <v>55</v>
      </c>
      <c r="AA127" s="124">
        <f>MIN(V127:Z127)</f>
        <v/>
      </c>
      <c r="AB127" s="125">
        <f>MEDIAN(V127:Z127)</f>
        <v/>
      </c>
      <c r="AC127" s="126">
        <f>MAX(V127:Z127)</f>
        <v/>
      </c>
      <c r="AD127" s="127">
        <f>IFERROR((AC127-AA127)/AB127,"—")</f>
        <v/>
      </c>
      <c r="AE127" s="128">
        <f>AVERAGE(G127,H127)</f>
        <v/>
      </c>
      <c r="AF127" s="129" t="inlineStr">
        <is>
          <t>OK — sources align</t>
        </is>
      </c>
      <c r="AG127" s="130" t="inlineStr">
        <is>
          <t>category-fallback</t>
        </is>
      </c>
      <c r="AH127" s="127">
        <f>IFERROR((AB127-AE127)/AE127,"—")</f>
        <v/>
      </c>
      <c r="AI127" s="127">
        <f>IFERROR((S127-AE127)/AE127,"—")</f>
        <v/>
      </c>
      <c r="AJ127" s="131">
        <f>IF(AD127&gt;1, "⚠ HIGH SPREAD", IF(ABS(AH127)&gt;0.5, "⚠ DELTA", "OK"))</f>
        <v/>
      </c>
    </row>
    <row r="128" ht="27.75" customHeight="1" s="56">
      <c r="A128" s="78" t="n"/>
      <c r="B128" s="78" t="inlineStr">
        <is>
          <t>B-09-004</t>
        </is>
      </c>
      <c r="C128" s="59" t="inlineStr">
        <is>
          <t>Crushing fines / sand bedding (on-site)</t>
        </is>
      </c>
      <c r="D128" s="78" t="inlineStr">
        <is>
          <t>tonne</t>
        </is>
      </c>
      <c r="E128" s="79" t="n">
        <v>23</v>
      </c>
      <c r="F128" s="79" t="n">
        <v>52</v>
      </c>
      <c r="G128" s="79" t="n">
        <v>22</v>
      </c>
      <c r="H128" s="79" t="n">
        <v>51</v>
      </c>
      <c r="I128" s="80" t="n">
        <v>26</v>
      </c>
      <c r="J128" s="80" t="n">
        <v>59</v>
      </c>
      <c r="K128" s="80" t="n">
        <v>25</v>
      </c>
      <c r="L128" s="80" t="n">
        <v>54</v>
      </c>
      <c r="M128" s="81" t="n">
        <v>26</v>
      </c>
      <c r="N128" s="81" t="n">
        <v>68</v>
      </c>
      <c r="O128" s="81" t="n">
        <v>28</v>
      </c>
      <c r="P128" s="81" t="n">
        <v>65</v>
      </c>
      <c r="Q128" s="82" t="n">
        <v>32</v>
      </c>
      <c r="R128" s="82" t="n">
        <v>78</v>
      </c>
      <c r="S128" s="83" t="n">
        <v>40</v>
      </c>
      <c r="T128" s="78" t="inlineStr">
        <is>
          <t>-</t>
        </is>
      </c>
      <c r="U128" s="78" t="inlineStr">
        <is>
          <t>-</t>
        </is>
      </c>
      <c r="V128" s="135" t="inlineStr">
        <is>
          <t>—</t>
        </is>
      </c>
      <c r="W128" s="135" t="inlineStr">
        <is>
          <t>—</t>
        </is>
      </c>
      <c r="X128" s="135" t="inlineStr">
        <is>
          <t>—</t>
        </is>
      </c>
      <c r="Y128" s="123" t="n">
        <v>18</v>
      </c>
      <c r="Z128" s="132" t="inlineStr">
        <is>
          <t>—</t>
        </is>
      </c>
      <c r="AA128" s="134" t="inlineStr">
        <is>
          <t>—</t>
        </is>
      </c>
      <c r="AB128" s="125">
        <f>MEDIAN(V128:Z128)</f>
        <v/>
      </c>
      <c r="AC128" s="132" t="inlineStr">
        <is>
          <t>—</t>
        </is>
      </c>
      <c r="AD128" s="132" t="inlineStr">
        <is>
          <t>—</t>
        </is>
      </c>
      <c r="AE128" s="128">
        <f>AVERAGE(G128,H128)</f>
        <v/>
      </c>
      <c r="AF128" s="129" t="inlineStr">
        <is>
          <t>Only 1/5 bidders priced — limited market signal</t>
        </is>
      </c>
      <c r="AG128" s="130" t="inlineStr">
        <is>
          <t>keyword-matched</t>
        </is>
      </c>
      <c r="AH128" s="127">
        <f>IFERROR((AB128-AE128)/AE128,"—")</f>
        <v/>
      </c>
      <c r="AI128" s="127">
        <f>IFERROR((S128-AE128)/AE128,"—")</f>
        <v/>
      </c>
      <c r="AJ128" s="131" t="inlineStr">
        <is>
          <t>—</t>
        </is>
      </c>
    </row>
    <row r="129" ht="27.75" customHeight="1" s="56">
      <c r="A129" s="78" t="n"/>
      <c r="B129" s="78" t="inlineStr">
        <is>
          <t>B-09-003</t>
        </is>
      </c>
      <c r="C129" s="59" t="inlineStr">
        <is>
          <t>Crushing riprap D50 150-600mm (on-site)</t>
        </is>
      </c>
      <c r="D129" s="78" t="inlineStr">
        <is>
          <t>tonne</t>
        </is>
      </c>
      <c r="E129" s="79" t="n">
        <v>20</v>
      </c>
      <c r="F129" s="79" t="n">
        <v>47</v>
      </c>
      <c r="G129" s="79" t="n">
        <v>19</v>
      </c>
      <c r="H129" s="79" t="n">
        <v>46</v>
      </c>
      <c r="I129" s="80" t="n">
        <v>22</v>
      </c>
      <c r="J129" s="80" t="n">
        <v>53</v>
      </c>
      <c r="K129" s="80" t="n">
        <v>22</v>
      </c>
      <c r="L129" s="80" t="n">
        <v>49</v>
      </c>
      <c r="M129" s="81" t="n">
        <v>23</v>
      </c>
      <c r="N129" s="81" t="n">
        <v>61</v>
      </c>
      <c r="O129" s="81" t="n">
        <v>24</v>
      </c>
      <c r="P129" s="81" t="n">
        <v>58</v>
      </c>
      <c r="Q129" s="82" t="n">
        <v>29</v>
      </c>
      <c r="R129" s="82" t="n">
        <v>70</v>
      </c>
      <c r="S129" s="78" t="inlineStr">
        <is>
          <t>-</t>
        </is>
      </c>
      <c r="T129" s="78" t="inlineStr">
        <is>
          <t>-</t>
        </is>
      </c>
      <c r="U129" s="83" t="n">
        <v>33.5</v>
      </c>
      <c r="V129" s="132" t="inlineStr">
        <is>
          <t>—</t>
        </is>
      </c>
      <c r="W129" s="132" t="inlineStr">
        <is>
          <t>—</t>
        </is>
      </c>
      <c r="X129" s="132" t="inlineStr">
        <is>
          <t>—</t>
        </is>
      </c>
      <c r="Y129" s="123" t="n">
        <v>10</v>
      </c>
      <c r="Z129" s="132" t="inlineStr">
        <is>
          <t>—</t>
        </is>
      </c>
      <c r="AA129" s="134" t="inlineStr">
        <is>
          <t>—</t>
        </is>
      </c>
      <c r="AB129" s="125">
        <f>MEDIAN(V129:Z129)</f>
        <v/>
      </c>
      <c r="AC129" s="132" t="inlineStr">
        <is>
          <t>—</t>
        </is>
      </c>
      <c r="AD129" s="132" t="inlineStr">
        <is>
          <t>—</t>
        </is>
      </c>
      <c r="AE129" s="128">
        <f>AVERAGE(G129,H129)</f>
        <v/>
      </c>
      <c r="AF129" s="129" t="inlineStr">
        <is>
          <t>Only 1/5 bidders priced — limited market signal</t>
        </is>
      </c>
      <c r="AG129" s="130" t="inlineStr">
        <is>
          <t>size-matched</t>
        </is>
      </c>
      <c r="AH129" s="127">
        <f>IFERROR((AB129-AE129)/AE129,"—")</f>
        <v/>
      </c>
      <c r="AI129" s="127">
        <f>IFERROR((S129-AE129)/AE129,"—")</f>
        <v/>
      </c>
      <c r="AJ129" s="131" t="inlineStr">
        <is>
          <t>—</t>
        </is>
      </c>
    </row>
    <row r="130" ht="27.75" customHeight="1" s="56">
      <c r="A130" s="78" t="n"/>
      <c r="B130" s="78" t="inlineStr">
        <is>
          <t>B-09-007</t>
        </is>
      </c>
      <c r="C130" s="59" t="inlineStr">
        <is>
          <t>Mob/demob portable crushing plant 180-350 tph</t>
        </is>
      </c>
      <c r="D130" s="78" t="inlineStr">
        <is>
          <t>LS</t>
        </is>
      </c>
      <c r="E130" s="79" t="n">
        <v>138000</v>
      </c>
      <c r="F130" s="79" t="n">
        <v>420000</v>
      </c>
      <c r="G130" s="79" t="n">
        <v>132000</v>
      </c>
      <c r="H130" s="79" t="n">
        <v>408000</v>
      </c>
      <c r="I130" s="80" t="n">
        <v>153000</v>
      </c>
      <c r="J130" s="80" t="n">
        <v>472000</v>
      </c>
      <c r="K130" s="80" t="n">
        <v>150000</v>
      </c>
      <c r="L130" s="80" t="n">
        <v>432000</v>
      </c>
      <c r="M130" s="81" t="n">
        <v>157500</v>
      </c>
      <c r="N130" s="81" t="n">
        <v>540000</v>
      </c>
      <c r="O130" s="81" t="n">
        <v>165000</v>
      </c>
      <c r="P130" s="81" t="n">
        <v>520000</v>
      </c>
      <c r="Q130" s="82" t="n">
        <v>195000</v>
      </c>
      <c r="R130" s="82" t="n">
        <v>620000</v>
      </c>
      <c r="S130" s="83" t="n">
        <v>52000</v>
      </c>
      <c r="T130" s="78" t="inlineStr">
        <is>
          <t>-</t>
        </is>
      </c>
      <c r="U130" s="78" t="inlineStr">
        <is>
          <t>-</t>
        </is>
      </c>
      <c r="V130" s="132" t="inlineStr">
        <is>
          <t>—</t>
        </is>
      </c>
      <c r="W130" s="132" t="inlineStr">
        <is>
          <t>—</t>
        </is>
      </c>
      <c r="X130" s="132" t="inlineStr">
        <is>
          <t>—</t>
        </is>
      </c>
      <c r="Y130" s="133" t="inlineStr">
        <is>
          <t>—</t>
        </is>
      </c>
      <c r="Z130" s="132" t="inlineStr">
        <is>
          <t>—</t>
        </is>
      </c>
      <c r="AA130" s="134" t="inlineStr">
        <is>
          <t>—</t>
        </is>
      </c>
      <c r="AB130" s="134" t="inlineStr">
        <is>
          <t>—</t>
        </is>
      </c>
      <c r="AC130" s="132" t="inlineStr">
        <is>
          <t>—</t>
        </is>
      </c>
      <c r="AD130" s="132" t="inlineStr">
        <is>
          <t>—</t>
        </is>
      </c>
      <c r="AE130" s="128">
        <f>AVERAGE(G130,H130)</f>
        <v/>
      </c>
      <c r="AF130" s="129" t="inlineStr">
        <is>
          <t>No bidder data; SME only</t>
        </is>
      </c>
      <c r="AG130" s="130" t="inlineStr">
        <is>
          <t>no match</t>
        </is>
      </c>
      <c r="AH130" s="127">
        <f>IFERROR((AB130-AE130)/AE130,"—")</f>
        <v/>
      </c>
      <c r="AI130" s="127">
        <f>IFERROR((S130-AE130)/AE130,"—")</f>
        <v/>
      </c>
      <c r="AJ130" s="131" t="inlineStr">
        <is>
          <t>—</t>
        </is>
      </c>
    </row>
    <row r="131" ht="27.75" customHeight="1" s="56">
      <c r="A131" s="78" t="n"/>
      <c r="B131" s="78" t="inlineStr">
        <is>
          <t>B-09-005</t>
        </is>
      </c>
      <c r="C131" s="59" t="inlineStr">
        <is>
          <t>Trucked-in Granular A - supply+haul 50km</t>
        </is>
      </c>
      <c r="D131" s="78" t="inlineStr">
        <is>
          <t>tonne</t>
        </is>
      </c>
      <c r="E131" s="79" t="n">
        <v>41</v>
      </c>
      <c r="F131" s="79" t="n">
        <v>74</v>
      </c>
      <c r="G131" s="79" t="n">
        <v>40</v>
      </c>
      <c r="H131" s="79" t="n">
        <v>71</v>
      </c>
      <c r="I131" s="80" t="n">
        <v>46</v>
      </c>
      <c r="J131" s="80" t="n">
        <v>83</v>
      </c>
      <c r="K131" s="80" t="n">
        <v>45</v>
      </c>
      <c r="L131" s="80" t="n">
        <v>76</v>
      </c>
      <c r="M131" s="81" t="n">
        <v>47</v>
      </c>
      <c r="N131" s="81" t="n">
        <v>94</v>
      </c>
      <c r="O131" s="81" t="n">
        <v>50</v>
      </c>
      <c r="P131" s="81" t="n">
        <v>91</v>
      </c>
      <c r="Q131" s="82" t="n">
        <v>58</v>
      </c>
      <c r="R131" s="82" t="n">
        <v>108</v>
      </c>
      <c r="S131" s="78" t="inlineStr">
        <is>
          <t>-</t>
        </is>
      </c>
      <c r="T131" s="78" t="inlineStr">
        <is>
          <t>-</t>
        </is>
      </c>
      <c r="U131" s="78" t="inlineStr">
        <is>
          <t>-</t>
        </is>
      </c>
      <c r="V131" s="123" t="n">
        <v>40.75</v>
      </c>
      <c r="W131" s="123" t="n">
        <v>51.94</v>
      </c>
      <c r="X131" s="123" t="n">
        <v>19.88</v>
      </c>
      <c r="Y131" s="123" t="n">
        <v>46.83</v>
      </c>
      <c r="Z131" s="123" t="n">
        <v>55</v>
      </c>
      <c r="AA131" s="124">
        <f>MIN(V131:Z131)</f>
        <v/>
      </c>
      <c r="AB131" s="125">
        <f>MEDIAN(V131:Z131)</f>
        <v/>
      </c>
      <c r="AC131" s="126">
        <f>MAX(V131:Z131)</f>
        <v/>
      </c>
      <c r="AD131" s="127">
        <f>IFERROR((AC131-AA131)/AB131,"—")</f>
        <v/>
      </c>
      <c r="AE131" s="128">
        <f>AVERAGE(G131,H131)</f>
        <v/>
      </c>
      <c r="AF131" s="129" t="inlineStr">
        <is>
          <t>OK — sources align</t>
        </is>
      </c>
      <c r="AG131" s="130" t="inlineStr">
        <is>
          <t>category-fallback</t>
        </is>
      </c>
      <c r="AH131" s="127">
        <f>IFERROR((AB131-AE131)/AE131,"—")</f>
        <v/>
      </c>
      <c r="AI131" s="127">
        <f>IFERROR((S131-AE131)/AE131,"—")</f>
        <v/>
      </c>
      <c r="AJ131" s="131">
        <f>IF(AD131&gt;1, "⚠ HIGH SPREAD", IF(ABS(AH131)&gt;0.5, "⚠ DELTA", "OK"))</f>
        <v/>
      </c>
    </row>
    <row r="132" ht="27.75" customHeight="1" s="56">
      <c r="A132" s="78" t="n"/>
      <c r="B132" s="78" t="inlineStr">
        <is>
          <t>B-09-006</t>
        </is>
      </c>
      <c r="C132" s="59" t="inlineStr">
        <is>
          <t>Trucked-in riprap D50 300mm - supply+haul</t>
        </is>
      </c>
      <c r="D132" s="78" t="inlineStr">
        <is>
          <t>tonne</t>
        </is>
      </c>
      <c r="E132" s="79" t="n">
        <v>51</v>
      </c>
      <c r="F132" s="79" t="n">
        <v>100</v>
      </c>
      <c r="G132" s="79" t="n">
        <v>48</v>
      </c>
      <c r="H132" s="79" t="n">
        <v>97</v>
      </c>
      <c r="I132" s="80" t="n">
        <v>56</v>
      </c>
      <c r="J132" s="80" t="n">
        <v>112</v>
      </c>
      <c r="K132" s="80" t="n">
        <v>55</v>
      </c>
      <c r="L132" s="80" t="n">
        <v>103</v>
      </c>
      <c r="M132" s="81" t="n">
        <v>58</v>
      </c>
      <c r="N132" s="81" t="n">
        <v>128</v>
      </c>
      <c r="O132" s="81" t="n">
        <v>61</v>
      </c>
      <c r="P132" s="81" t="n">
        <v>124</v>
      </c>
      <c r="Q132" s="82" t="n">
        <v>72</v>
      </c>
      <c r="R132" s="82" t="n">
        <v>147</v>
      </c>
      <c r="S132" s="78" t="inlineStr">
        <is>
          <t>-</t>
        </is>
      </c>
      <c r="T132" s="83" t="n">
        <v>265.82</v>
      </c>
      <c r="U132" s="78" t="inlineStr">
        <is>
          <t>-</t>
        </is>
      </c>
      <c r="V132" s="132" t="inlineStr">
        <is>
          <t>—</t>
        </is>
      </c>
      <c r="W132" s="132" t="inlineStr">
        <is>
          <t>—</t>
        </is>
      </c>
      <c r="X132" s="132" t="inlineStr">
        <is>
          <t>—</t>
        </is>
      </c>
      <c r="Y132" s="123" t="n">
        <v>10</v>
      </c>
      <c r="Z132" s="132" t="inlineStr">
        <is>
          <t>—</t>
        </is>
      </c>
      <c r="AA132" s="134" t="inlineStr">
        <is>
          <t>—</t>
        </is>
      </c>
      <c r="AB132" s="125">
        <f>MEDIAN(V132:Z132)</f>
        <v/>
      </c>
      <c r="AC132" s="132" t="inlineStr">
        <is>
          <t>—</t>
        </is>
      </c>
      <c r="AD132" s="132" t="inlineStr">
        <is>
          <t>—</t>
        </is>
      </c>
      <c r="AE132" s="128">
        <f>AVERAGE(G132,H132)</f>
        <v/>
      </c>
      <c r="AF132" s="129" t="inlineStr">
        <is>
          <t>Only 1/5 bidders priced — limited market signal</t>
        </is>
      </c>
      <c r="AG132" s="130" t="inlineStr">
        <is>
          <t>size-matched</t>
        </is>
      </c>
      <c r="AH132" s="127">
        <f>IFERROR((AB132-AE132)/AE132,"—")</f>
        <v/>
      </c>
      <c r="AI132" s="127">
        <f>IFERROR((S132-AE132)/AE132,"—")</f>
        <v/>
      </c>
      <c r="AJ132" s="131" t="inlineStr">
        <is>
          <t>—</t>
        </is>
      </c>
    </row>
    <row r="133" ht="19.5" customHeight="1" s="56">
      <c r="A133" s="77" t="inlineStr">
        <is>
          <t>R. Underground</t>
        </is>
      </c>
    </row>
    <row r="134" ht="27.75" customHeight="1" s="56">
      <c r="A134" s="78" t="n"/>
      <c r="B134" s="78" t="inlineStr">
        <is>
          <t>U-10-007</t>
        </is>
      </c>
      <c r="C134" s="59" t="inlineStr">
        <is>
          <t>Ground support - rock bolts 2.4m resin</t>
        </is>
      </c>
      <c r="D134" s="78" t="inlineStr">
        <is>
          <t>ea</t>
        </is>
      </c>
      <c r="E134" s="79" t="n">
        <v>78</v>
      </c>
      <c r="F134" s="79" t="n">
        <v>173</v>
      </c>
      <c r="G134" s="79" t="n">
        <v>75</v>
      </c>
      <c r="H134" s="79" t="n">
        <v>168</v>
      </c>
      <c r="I134" s="80" t="n">
        <v>87</v>
      </c>
      <c r="J134" s="80" t="n">
        <v>195</v>
      </c>
      <c r="K134" s="80" t="n">
        <v>85</v>
      </c>
      <c r="L134" s="80" t="n">
        <v>178</v>
      </c>
      <c r="M134" s="81" t="n">
        <v>89</v>
      </c>
      <c r="N134" s="81" t="n">
        <v>223</v>
      </c>
      <c r="O134" s="81" t="n">
        <v>94</v>
      </c>
      <c r="P134" s="81" t="n">
        <v>214</v>
      </c>
      <c r="Q134" s="82" t="n">
        <v>110</v>
      </c>
      <c r="R134" s="82" t="n">
        <v>256</v>
      </c>
      <c r="S134" s="78" t="inlineStr">
        <is>
          <t>-</t>
        </is>
      </c>
      <c r="T134" s="78" t="inlineStr">
        <is>
          <t>-</t>
        </is>
      </c>
      <c r="U134" s="78" t="inlineStr">
        <is>
          <t>-</t>
        </is>
      </c>
      <c r="V134" s="132" t="inlineStr">
        <is>
          <t>—</t>
        </is>
      </c>
      <c r="W134" s="132" t="inlineStr">
        <is>
          <t>—</t>
        </is>
      </c>
      <c r="X134" s="132" t="inlineStr">
        <is>
          <t>—</t>
        </is>
      </c>
      <c r="Y134" s="133" t="inlineStr">
        <is>
          <t>—</t>
        </is>
      </c>
      <c r="Z134" s="132" t="inlineStr">
        <is>
          <t>—</t>
        </is>
      </c>
      <c r="AA134" s="134" t="inlineStr">
        <is>
          <t>—</t>
        </is>
      </c>
      <c r="AB134" s="134" t="inlineStr">
        <is>
          <t>—</t>
        </is>
      </c>
      <c r="AC134" s="132" t="inlineStr">
        <is>
          <t>—</t>
        </is>
      </c>
      <c r="AD134" s="132" t="inlineStr">
        <is>
          <t>—</t>
        </is>
      </c>
      <c r="AE134" s="128">
        <f>AVERAGE(G134,H134)</f>
        <v/>
      </c>
      <c r="AF134" s="129" t="inlineStr">
        <is>
          <t>No bidder data; SME only</t>
        </is>
      </c>
      <c r="AG134" s="130" t="inlineStr">
        <is>
          <t>no match</t>
        </is>
      </c>
      <c r="AH134" s="127">
        <f>IFERROR((AB134-AE134)/AE134,"—")</f>
        <v/>
      </c>
      <c r="AI134" s="127">
        <f>IFERROR((S134-AE134)/AE134,"—")</f>
        <v/>
      </c>
      <c r="AJ134" s="131" t="inlineStr">
        <is>
          <t>—</t>
        </is>
      </c>
    </row>
    <row r="135" ht="27.75" customHeight="1" s="56">
      <c r="A135" s="78" t="n"/>
      <c r="B135" s="78" t="inlineStr">
        <is>
          <t>U-10-008</t>
        </is>
      </c>
      <c r="C135" s="59" t="inlineStr">
        <is>
          <t>Ground support - shotcrete+mesh 75-100mm UG</t>
        </is>
      </c>
      <c r="D135" s="78" t="inlineStr">
        <is>
          <t>m2</t>
        </is>
      </c>
      <c r="E135" s="79" t="n">
        <v>170</v>
      </c>
      <c r="F135" s="79" t="n">
        <v>336</v>
      </c>
      <c r="G135" s="79" t="n">
        <v>163</v>
      </c>
      <c r="H135" s="79" t="n">
        <v>326</v>
      </c>
      <c r="I135" s="80" t="n">
        <v>189</v>
      </c>
      <c r="J135" s="80" t="n">
        <v>378</v>
      </c>
      <c r="K135" s="80" t="n">
        <v>185</v>
      </c>
      <c r="L135" s="80" t="n">
        <v>346</v>
      </c>
      <c r="M135" s="81" t="n">
        <v>194</v>
      </c>
      <c r="N135" s="81" t="n">
        <v>432</v>
      </c>
      <c r="O135" s="81" t="n">
        <v>204</v>
      </c>
      <c r="P135" s="81" t="n">
        <v>416</v>
      </c>
      <c r="Q135" s="82" t="n">
        <v>240</v>
      </c>
      <c r="R135" s="82" t="n">
        <v>496</v>
      </c>
      <c r="S135" s="78" t="inlineStr">
        <is>
          <t>-</t>
        </is>
      </c>
      <c r="T135" s="78" t="inlineStr">
        <is>
          <t>-</t>
        </is>
      </c>
      <c r="U135" s="78" t="inlineStr">
        <is>
          <t>-</t>
        </is>
      </c>
      <c r="V135" s="132" t="inlineStr">
        <is>
          <t>—</t>
        </is>
      </c>
      <c r="W135" s="132" t="inlineStr">
        <is>
          <t>—</t>
        </is>
      </c>
      <c r="X135" s="132" t="inlineStr">
        <is>
          <t>—</t>
        </is>
      </c>
      <c r="Y135" s="133" t="inlineStr">
        <is>
          <t>—</t>
        </is>
      </c>
      <c r="Z135" s="132" t="inlineStr">
        <is>
          <t>—</t>
        </is>
      </c>
      <c r="AA135" s="134" t="inlineStr">
        <is>
          <t>—</t>
        </is>
      </c>
      <c r="AB135" s="134" t="inlineStr">
        <is>
          <t>—</t>
        </is>
      </c>
      <c r="AC135" s="132" t="inlineStr">
        <is>
          <t>—</t>
        </is>
      </c>
      <c r="AD135" s="132" t="inlineStr">
        <is>
          <t>—</t>
        </is>
      </c>
      <c r="AE135" s="128">
        <f>AVERAGE(G135,H135)</f>
        <v/>
      </c>
      <c r="AF135" s="129" t="inlineStr">
        <is>
          <t>No bidder data; SME only</t>
        </is>
      </c>
      <c r="AG135" s="130" t="inlineStr">
        <is>
          <t>no match</t>
        </is>
      </c>
      <c r="AH135" s="127">
        <f>IFERROR((AB135-AE135)/AE135,"—")</f>
        <v/>
      </c>
      <c r="AI135" s="127">
        <f>IFERROR((S135-AE135)/AE135,"—")</f>
        <v/>
      </c>
      <c r="AJ135" s="131" t="inlineStr">
        <is>
          <t>—</t>
        </is>
      </c>
    </row>
    <row r="136" ht="27.75" customHeight="1" s="56">
      <c r="A136" s="78" t="n"/>
      <c r="B136" s="78" t="inlineStr">
        <is>
          <t>U-10-003</t>
        </is>
      </c>
      <c r="C136" s="59" t="inlineStr">
        <is>
          <t>Lateral development 5×5m drift - D&amp;B+mucking</t>
        </is>
      </c>
      <c r="D136" s="78" t="inlineStr">
        <is>
          <t>m</t>
        </is>
      </c>
      <c r="E136" s="79" t="n">
        <v>5980</v>
      </c>
      <c r="F136" s="79" t="n">
        <v>13125</v>
      </c>
      <c r="G136" s="79" t="n">
        <v>5720</v>
      </c>
      <c r="H136" s="79" t="n">
        <v>12750</v>
      </c>
      <c r="I136" s="80" t="n">
        <v>6630</v>
      </c>
      <c r="J136" s="80" t="n">
        <v>14750</v>
      </c>
      <c r="K136" s="80" t="n">
        <v>6500</v>
      </c>
      <c r="L136" s="80" t="n">
        <v>13500</v>
      </c>
      <c r="M136" s="81" t="n">
        <v>6825</v>
      </c>
      <c r="N136" s="81" t="n">
        <v>16875</v>
      </c>
      <c r="O136" s="81" t="n">
        <v>7150</v>
      </c>
      <c r="P136" s="81" t="n">
        <v>16250</v>
      </c>
      <c r="Q136" s="82" t="n">
        <v>8450</v>
      </c>
      <c r="R136" s="82" t="n">
        <v>19375</v>
      </c>
      <c r="S136" s="78" t="inlineStr">
        <is>
          <t>-</t>
        </is>
      </c>
      <c r="T136" s="78" t="inlineStr">
        <is>
          <t>-</t>
        </is>
      </c>
      <c r="U136" s="78" t="inlineStr">
        <is>
          <t>-</t>
        </is>
      </c>
      <c r="V136" s="132" t="inlineStr">
        <is>
          <t>—</t>
        </is>
      </c>
      <c r="W136" s="132" t="inlineStr">
        <is>
          <t>—</t>
        </is>
      </c>
      <c r="X136" s="132" t="inlineStr">
        <is>
          <t>—</t>
        </is>
      </c>
      <c r="Y136" s="133" t="inlineStr">
        <is>
          <t>—</t>
        </is>
      </c>
      <c r="Z136" s="132" t="inlineStr">
        <is>
          <t>—</t>
        </is>
      </c>
      <c r="AA136" s="134" t="inlineStr">
        <is>
          <t>—</t>
        </is>
      </c>
      <c r="AB136" s="134" t="inlineStr">
        <is>
          <t>—</t>
        </is>
      </c>
      <c r="AC136" s="132" t="inlineStr">
        <is>
          <t>—</t>
        </is>
      </c>
      <c r="AD136" s="132" t="inlineStr">
        <is>
          <t>—</t>
        </is>
      </c>
      <c r="AE136" s="128">
        <f>AVERAGE(G136,H136)</f>
        <v/>
      </c>
      <c r="AF136" s="129" t="inlineStr">
        <is>
          <t>No bidder data; SME only</t>
        </is>
      </c>
      <c r="AG136" s="130" t="inlineStr">
        <is>
          <t>no match</t>
        </is>
      </c>
      <c r="AH136" s="127">
        <f>IFERROR((AB136-AE136)/AE136,"—")</f>
        <v/>
      </c>
      <c r="AI136" s="127">
        <f>IFERROR((S136-AE136)/AE136,"—")</f>
        <v/>
      </c>
      <c r="AJ136" s="131" t="inlineStr">
        <is>
          <t>—</t>
        </is>
      </c>
    </row>
    <row r="137" ht="27.75" customHeight="1" s="56">
      <c r="A137" s="78" t="n"/>
      <c r="B137" s="78" t="inlineStr">
        <is>
          <t>U-10-011</t>
        </is>
      </c>
      <c r="C137" s="59" t="inlineStr">
        <is>
          <t>Mucking and tramming - UG 1-2 km</t>
        </is>
      </c>
      <c r="D137" s="78" t="inlineStr">
        <is>
          <t>tonne</t>
        </is>
      </c>
      <c r="E137" s="79" t="n">
        <v>17</v>
      </c>
      <c r="F137" s="79" t="n">
        <v>34</v>
      </c>
      <c r="G137" s="79" t="n">
        <v>16</v>
      </c>
      <c r="H137" s="79" t="n">
        <v>33</v>
      </c>
      <c r="I137" s="80" t="n">
        <v>18</v>
      </c>
      <c r="J137" s="80" t="n">
        <v>38</v>
      </c>
      <c r="K137" s="80" t="n">
        <v>18</v>
      </c>
      <c r="L137" s="80" t="n">
        <v>35</v>
      </c>
      <c r="M137" s="81" t="n">
        <v>19</v>
      </c>
      <c r="N137" s="81" t="n">
        <v>43</v>
      </c>
      <c r="O137" s="81" t="n">
        <v>20</v>
      </c>
      <c r="P137" s="81" t="n">
        <v>42</v>
      </c>
      <c r="Q137" s="82" t="n">
        <v>23</v>
      </c>
      <c r="R137" s="82" t="n">
        <v>50</v>
      </c>
      <c r="S137" s="78" t="inlineStr">
        <is>
          <t>-</t>
        </is>
      </c>
      <c r="T137" s="78" t="inlineStr">
        <is>
          <t>-</t>
        </is>
      </c>
      <c r="U137" s="78" t="inlineStr">
        <is>
          <t>-</t>
        </is>
      </c>
      <c r="V137" s="132" t="inlineStr">
        <is>
          <t>—</t>
        </is>
      </c>
      <c r="W137" s="132" t="inlineStr">
        <is>
          <t>—</t>
        </is>
      </c>
      <c r="X137" s="132" t="inlineStr">
        <is>
          <t>—</t>
        </is>
      </c>
      <c r="Y137" s="133" t="inlineStr">
        <is>
          <t>—</t>
        </is>
      </c>
      <c r="Z137" s="132" t="inlineStr">
        <is>
          <t>—</t>
        </is>
      </c>
      <c r="AA137" s="134" t="inlineStr">
        <is>
          <t>—</t>
        </is>
      </c>
      <c r="AB137" s="134" t="inlineStr">
        <is>
          <t>—</t>
        </is>
      </c>
      <c r="AC137" s="132" t="inlineStr">
        <is>
          <t>—</t>
        </is>
      </c>
      <c r="AD137" s="132" t="inlineStr">
        <is>
          <t>—</t>
        </is>
      </c>
      <c r="AE137" s="128">
        <f>AVERAGE(G137,H137)</f>
        <v/>
      </c>
      <c r="AF137" s="129" t="inlineStr">
        <is>
          <t>No bidder data; SME only</t>
        </is>
      </c>
      <c r="AG137" s="130" t="inlineStr">
        <is>
          <t>no match</t>
        </is>
      </c>
      <c r="AH137" s="127">
        <f>IFERROR((AB137-AE137)/AE137,"—")</f>
        <v/>
      </c>
      <c r="AI137" s="127">
        <f>IFERROR((S137-AE137)/AE137,"—")</f>
        <v/>
      </c>
      <c r="AJ137" s="131" t="inlineStr">
        <is>
          <t>—</t>
        </is>
      </c>
    </row>
    <row r="138" ht="27.75" customHeight="1" s="56">
      <c r="A138" s="78" t="n"/>
      <c r="B138" s="78" t="inlineStr">
        <is>
          <t>U-10-005</t>
        </is>
      </c>
      <c r="C138" s="59" t="inlineStr">
        <is>
          <t>Raise bore 3m dia</t>
        </is>
      </c>
      <c r="D138" s="78" t="inlineStr">
        <is>
          <t>m</t>
        </is>
      </c>
      <c r="E138" s="79" t="n">
        <v>4140</v>
      </c>
      <c r="F138" s="79" t="n">
        <v>8925</v>
      </c>
      <c r="G138" s="79" t="n">
        <v>3960</v>
      </c>
      <c r="H138" s="79" t="n">
        <v>8670</v>
      </c>
      <c r="I138" s="80" t="n">
        <v>4590</v>
      </c>
      <c r="J138" s="80" t="n">
        <v>10030</v>
      </c>
      <c r="K138" s="80" t="n">
        <v>4500</v>
      </c>
      <c r="L138" s="80" t="n">
        <v>9180</v>
      </c>
      <c r="M138" s="81" t="n">
        <v>4725</v>
      </c>
      <c r="N138" s="81" t="n">
        <v>11475</v>
      </c>
      <c r="O138" s="81" t="n">
        <v>4950</v>
      </c>
      <c r="P138" s="81" t="n">
        <v>11050</v>
      </c>
      <c r="Q138" s="82" t="n">
        <v>5850</v>
      </c>
      <c r="R138" s="82" t="n">
        <v>13175</v>
      </c>
      <c r="S138" s="78" t="inlineStr">
        <is>
          <t>-</t>
        </is>
      </c>
      <c r="T138" s="78" t="inlineStr">
        <is>
          <t>-</t>
        </is>
      </c>
      <c r="U138" s="78" t="inlineStr">
        <is>
          <t>-</t>
        </is>
      </c>
      <c r="V138" s="132" t="inlineStr">
        <is>
          <t>—</t>
        </is>
      </c>
      <c r="W138" s="132" t="inlineStr">
        <is>
          <t>—</t>
        </is>
      </c>
      <c r="X138" s="132" t="inlineStr">
        <is>
          <t>—</t>
        </is>
      </c>
      <c r="Y138" s="133" t="inlineStr">
        <is>
          <t>—</t>
        </is>
      </c>
      <c r="Z138" s="132" t="inlineStr">
        <is>
          <t>—</t>
        </is>
      </c>
      <c r="AA138" s="134" t="inlineStr">
        <is>
          <t>—</t>
        </is>
      </c>
      <c r="AB138" s="134" t="inlineStr">
        <is>
          <t>—</t>
        </is>
      </c>
      <c r="AC138" s="132" t="inlineStr">
        <is>
          <t>—</t>
        </is>
      </c>
      <c r="AD138" s="132" t="inlineStr">
        <is>
          <t>—</t>
        </is>
      </c>
      <c r="AE138" s="128">
        <f>AVERAGE(G138,H138)</f>
        <v/>
      </c>
      <c r="AF138" s="129" t="inlineStr">
        <is>
          <t>No bidder data; SME only</t>
        </is>
      </c>
      <c r="AG138" s="130" t="inlineStr">
        <is>
          <t>no match</t>
        </is>
      </c>
      <c r="AH138" s="127">
        <f>IFERROR((AB138-AE138)/AE138,"—")</f>
        <v/>
      </c>
      <c r="AI138" s="127">
        <f>IFERROR((S138-AE138)/AE138,"—")</f>
        <v/>
      </c>
      <c r="AJ138" s="131" t="inlineStr">
        <is>
          <t>—</t>
        </is>
      </c>
    </row>
    <row r="139" ht="27.75" customHeight="1" s="56">
      <c r="A139" s="78" t="n"/>
      <c r="B139" s="78" t="inlineStr">
        <is>
          <t>U-10-001</t>
        </is>
      </c>
      <c r="C139" s="59" t="inlineStr">
        <is>
          <t>Shaft sinking 6m dia - D&amp;B incl. ground support</t>
        </is>
      </c>
      <c r="D139" s="78" t="inlineStr">
        <is>
          <t>m</t>
        </is>
      </c>
      <c r="E139" s="79" t="n">
        <v>32200</v>
      </c>
      <c r="F139" s="79" t="n">
        <v>68250</v>
      </c>
      <c r="G139" s="79" t="n">
        <v>30800</v>
      </c>
      <c r="H139" s="79" t="n">
        <v>66300</v>
      </c>
      <c r="I139" s="80" t="n">
        <v>35700</v>
      </c>
      <c r="J139" s="80" t="n">
        <v>76700</v>
      </c>
      <c r="K139" s="80" t="n">
        <v>35000</v>
      </c>
      <c r="L139" s="80" t="n">
        <v>70200</v>
      </c>
      <c r="M139" s="81" t="n">
        <v>36750</v>
      </c>
      <c r="N139" s="81" t="n">
        <v>87750</v>
      </c>
      <c r="O139" s="81" t="n">
        <v>38500</v>
      </c>
      <c r="P139" s="81" t="n">
        <v>84500</v>
      </c>
      <c r="Q139" s="82" t="n">
        <v>45500</v>
      </c>
      <c r="R139" s="82" t="n">
        <v>100750</v>
      </c>
      <c r="S139" s="78" t="inlineStr">
        <is>
          <t>-</t>
        </is>
      </c>
      <c r="T139" s="78" t="inlineStr">
        <is>
          <t>-</t>
        </is>
      </c>
      <c r="U139" s="78" t="inlineStr">
        <is>
          <t>-</t>
        </is>
      </c>
      <c r="V139" s="123" t="n">
        <v>490</v>
      </c>
      <c r="W139" s="123" t="n">
        <v>1266.76</v>
      </c>
      <c r="X139" s="123" t="n">
        <v>826.35</v>
      </c>
      <c r="Y139" s="133" t="inlineStr">
        <is>
          <t>—</t>
        </is>
      </c>
      <c r="Z139" s="123" t="n">
        <v>500</v>
      </c>
      <c r="AA139" s="124">
        <f>MIN(V139:Z139)</f>
        <v/>
      </c>
      <c r="AB139" s="125">
        <f>MEDIAN(V139:Z139)</f>
        <v/>
      </c>
      <c r="AC139" s="126">
        <f>MAX(V139:Z139)</f>
        <v/>
      </c>
      <c r="AD139" s="127">
        <f>IFERROR((AC139-AA139)/AB139,"—")</f>
        <v/>
      </c>
      <c r="AE139" s="128">
        <f>AVERAGE(G139,H139)</f>
        <v/>
      </c>
      <c r="AF139" s="129" t="inlineStr">
        <is>
          <t>OK — sources align</t>
        </is>
      </c>
      <c r="AG139" s="130" t="inlineStr">
        <is>
          <t>category-fallback</t>
        </is>
      </c>
      <c r="AH139" s="127">
        <f>IFERROR((AB139-AE139)/AE139,"—")</f>
        <v/>
      </c>
      <c r="AI139" s="127">
        <f>IFERROR((S139-AE139)/AE139,"—")</f>
        <v/>
      </c>
      <c r="AJ139" s="131">
        <f>IF(AD139&gt;1, "⚠ HIGH SPREAD", IF(ABS(AH139)&gt;0.5, "⚠ DELTA", "OK"))</f>
        <v/>
      </c>
    </row>
    <row r="140" ht="27.75" customHeight="1" s="56">
      <c r="A140" s="78" t="n"/>
      <c r="B140" s="78" t="inlineStr">
        <is>
          <t>U-10-012</t>
        </is>
      </c>
      <c r="C140" s="59" t="inlineStr">
        <is>
          <t>Stope backfill - paste fill placement</t>
        </is>
      </c>
      <c r="D140" s="78" t="inlineStr">
        <is>
          <t>m3</t>
        </is>
      </c>
      <c r="E140" s="79" t="n">
        <v>41</v>
      </c>
      <c r="F140" s="79" t="n">
        <v>100</v>
      </c>
      <c r="G140" s="79" t="n">
        <v>40</v>
      </c>
      <c r="H140" s="79" t="n">
        <v>97</v>
      </c>
      <c r="I140" s="80" t="n">
        <v>46</v>
      </c>
      <c r="J140" s="80" t="n">
        <v>112</v>
      </c>
      <c r="K140" s="80" t="n">
        <v>45</v>
      </c>
      <c r="L140" s="80" t="n">
        <v>103</v>
      </c>
      <c r="M140" s="81" t="n">
        <v>47</v>
      </c>
      <c r="N140" s="81" t="n">
        <v>128</v>
      </c>
      <c r="O140" s="81" t="n">
        <v>50</v>
      </c>
      <c r="P140" s="81" t="n">
        <v>124</v>
      </c>
      <c r="Q140" s="82" t="n">
        <v>58</v>
      </c>
      <c r="R140" s="82" t="n">
        <v>147</v>
      </c>
      <c r="S140" s="83" t="n">
        <v>341.55</v>
      </c>
      <c r="T140" s="78" t="inlineStr">
        <is>
          <t>-</t>
        </is>
      </c>
      <c r="U140" s="78" t="inlineStr">
        <is>
          <t>-</t>
        </is>
      </c>
      <c r="V140" s="123" t="n">
        <v>13.95</v>
      </c>
      <c r="W140" s="123" t="n">
        <v>49.78</v>
      </c>
      <c r="X140" s="123" t="n">
        <v>11.42</v>
      </c>
      <c r="Y140" s="123" t="n">
        <v>12.44</v>
      </c>
      <c r="Z140" s="123" t="n">
        <v>15</v>
      </c>
      <c r="AA140" s="124">
        <f>MIN(V140:Z140)</f>
        <v/>
      </c>
      <c r="AB140" s="125">
        <f>MEDIAN(V140:Z140)</f>
        <v/>
      </c>
      <c r="AC140" s="126">
        <f>MAX(V140:Z140)</f>
        <v/>
      </c>
      <c r="AD140" s="127">
        <f>IFERROR((AC140-AA140)/AB140,"—")</f>
        <v/>
      </c>
      <c r="AE140" s="128">
        <f>AVERAGE(G140,H140)</f>
        <v/>
      </c>
      <c r="AF140" s="129" t="inlineStr">
        <is>
          <t>OK — sources align</t>
        </is>
      </c>
      <c r="AG140" s="130" t="inlineStr">
        <is>
          <t>keyword-matched</t>
        </is>
      </c>
      <c r="AH140" s="127">
        <f>IFERROR((AB140-AE140)/AE140,"—")</f>
        <v/>
      </c>
      <c r="AI140" s="127">
        <f>IFERROR((S140-AE140)/AE140,"—")</f>
        <v/>
      </c>
      <c r="AJ140" s="131">
        <f>IF(AD140&gt;1, "⚠ HIGH SPREAD", IF(ABS(AH140)&gt;0.5, "⚠ DELTA", "OK"))</f>
        <v/>
      </c>
    </row>
    <row r="141" ht="19.5" customHeight="1" s="56">
      <c r="A141" s="77" t="inlineStr">
        <is>
          <t>S. Tailings Dam</t>
        </is>
      </c>
    </row>
    <row r="142" ht="27.75" customHeight="1" s="56">
      <c r="A142" s="78" t="n"/>
      <c r="B142" s="78" t="inlineStr">
        <is>
          <t>T-20-005</t>
        </is>
      </c>
      <c r="C142" s="59" t="inlineStr">
        <is>
          <t>Dam raise - centerline per lift</t>
        </is>
      </c>
      <c r="D142" s="78" t="inlineStr">
        <is>
          <t>m3</t>
        </is>
      </c>
      <c r="E142" s="79" t="n">
        <v>26</v>
      </c>
      <c r="F142" s="79" t="n">
        <v>50</v>
      </c>
      <c r="G142" s="79" t="n">
        <v>25</v>
      </c>
      <c r="H142" s="79" t="n">
        <v>49</v>
      </c>
      <c r="I142" s="80" t="n">
        <v>29</v>
      </c>
      <c r="J142" s="80" t="n">
        <v>57</v>
      </c>
      <c r="K142" s="80" t="n">
        <v>28</v>
      </c>
      <c r="L142" s="80" t="n">
        <v>52</v>
      </c>
      <c r="M142" s="81" t="n">
        <v>29</v>
      </c>
      <c r="N142" s="81" t="n">
        <v>65</v>
      </c>
      <c r="O142" s="81" t="n">
        <v>31</v>
      </c>
      <c r="P142" s="81" t="n">
        <v>62</v>
      </c>
      <c r="Q142" s="82" t="n">
        <v>36</v>
      </c>
      <c r="R142" s="82" t="n">
        <v>74</v>
      </c>
      <c r="S142" s="78" t="inlineStr">
        <is>
          <t>-</t>
        </is>
      </c>
      <c r="T142" s="78" t="inlineStr">
        <is>
          <t>-</t>
        </is>
      </c>
      <c r="U142" s="78" t="inlineStr">
        <is>
          <t>-</t>
        </is>
      </c>
      <c r="V142" s="132" t="inlineStr">
        <is>
          <t>—</t>
        </is>
      </c>
      <c r="W142" s="132" t="inlineStr">
        <is>
          <t>—</t>
        </is>
      </c>
      <c r="X142" s="132" t="inlineStr">
        <is>
          <t>—</t>
        </is>
      </c>
      <c r="Y142" s="133" t="inlineStr">
        <is>
          <t>—</t>
        </is>
      </c>
      <c r="Z142" s="132" t="inlineStr">
        <is>
          <t>—</t>
        </is>
      </c>
      <c r="AA142" s="134" t="inlineStr">
        <is>
          <t>—</t>
        </is>
      </c>
      <c r="AB142" s="134" t="inlineStr">
        <is>
          <t>—</t>
        </is>
      </c>
      <c r="AC142" s="132" t="inlineStr">
        <is>
          <t>—</t>
        </is>
      </c>
      <c r="AD142" s="132" t="inlineStr">
        <is>
          <t>—</t>
        </is>
      </c>
      <c r="AE142" s="128">
        <f>AVERAGE(G142,H142)</f>
        <v/>
      </c>
      <c r="AF142" s="129" t="inlineStr">
        <is>
          <t>No bidder data; SME only</t>
        </is>
      </c>
      <c r="AG142" s="130" t="inlineStr">
        <is>
          <t>no match</t>
        </is>
      </c>
      <c r="AH142" s="127">
        <f>IFERROR((AB142-AE142)/AE142,"—")</f>
        <v/>
      </c>
      <c r="AI142" s="127">
        <f>IFERROR((S142-AE142)/AE142,"—")</f>
        <v/>
      </c>
      <c r="AJ142" s="131" t="inlineStr">
        <is>
          <t>—</t>
        </is>
      </c>
    </row>
    <row r="143" ht="27.75" customHeight="1" s="56">
      <c r="A143" s="78" t="n"/>
      <c r="B143" s="78" t="inlineStr">
        <is>
          <t>T-20-006</t>
        </is>
      </c>
      <c r="C143" s="59" t="inlineStr">
        <is>
          <t>Dam raise - downstream per lift</t>
        </is>
      </c>
      <c r="D143" s="78" t="inlineStr">
        <is>
          <t>m3</t>
        </is>
      </c>
      <c r="E143" s="79" t="n">
        <v>23</v>
      </c>
      <c r="F143" s="79" t="n">
        <v>44</v>
      </c>
      <c r="G143" s="79" t="n">
        <v>22</v>
      </c>
      <c r="H143" s="79" t="n">
        <v>43</v>
      </c>
      <c r="I143" s="80" t="n">
        <v>26</v>
      </c>
      <c r="J143" s="80" t="n">
        <v>50</v>
      </c>
      <c r="K143" s="80" t="n">
        <v>25</v>
      </c>
      <c r="L143" s="80" t="n">
        <v>45</v>
      </c>
      <c r="M143" s="81" t="n">
        <v>26</v>
      </c>
      <c r="N143" s="81" t="n">
        <v>57</v>
      </c>
      <c r="O143" s="81" t="n">
        <v>28</v>
      </c>
      <c r="P143" s="81" t="n">
        <v>55</v>
      </c>
      <c r="Q143" s="82" t="n">
        <v>32</v>
      </c>
      <c r="R143" s="82" t="n">
        <v>65</v>
      </c>
      <c r="S143" s="78" t="inlineStr">
        <is>
          <t>-</t>
        </is>
      </c>
      <c r="T143" s="78" t="inlineStr">
        <is>
          <t>-</t>
        </is>
      </c>
      <c r="U143" s="78" t="inlineStr">
        <is>
          <t>-</t>
        </is>
      </c>
      <c r="V143" s="132" t="inlineStr">
        <is>
          <t>—</t>
        </is>
      </c>
      <c r="W143" s="132" t="inlineStr">
        <is>
          <t>—</t>
        </is>
      </c>
      <c r="X143" s="132" t="inlineStr">
        <is>
          <t>—</t>
        </is>
      </c>
      <c r="Y143" s="133" t="inlineStr">
        <is>
          <t>—</t>
        </is>
      </c>
      <c r="Z143" s="132" t="inlineStr">
        <is>
          <t>—</t>
        </is>
      </c>
      <c r="AA143" s="134" t="inlineStr">
        <is>
          <t>—</t>
        </is>
      </c>
      <c r="AB143" s="134" t="inlineStr">
        <is>
          <t>—</t>
        </is>
      </c>
      <c r="AC143" s="132" t="inlineStr">
        <is>
          <t>—</t>
        </is>
      </c>
      <c r="AD143" s="132" t="inlineStr">
        <is>
          <t>—</t>
        </is>
      </c>
      <c r="AE143" s="128">
        <f>AVERAGE(G143,H143)</f>
        <v/>
      </c>
      <c r="AF143" s="129" t="inlineStr">
        <is>
          <t>No bidder data; SME only</t>
        </is>
      </c>
      <c r="AG143" s="130" t="inlineStr">
        <is>
          <t>no match</t>
        </is>
      </c>
      <c r="AH143" s="127">
        <f>IFERROR((AB143-AE143)/AE143,"—")</f>
        <v/>
      </c>
      <c r="AI143" s="127">
        <f>IFERROR((S143-AE143)/AE143,"—")</f>
        <v/>
      </c>
      <c r="AJ143" s="131" t="inlineStr">
        <is>
          <t>—</t>
        </is>
      </c>
    </row>
    <row r="144" ht="27.75" customHeight="1" s="56">
      <c r="A144" s="78" t="n"/>
      <c r="B144" s="78" t="inlineStr">
        <is>
          <t>T-20-010</t>
        </is>
      </c>
      <c r="C144" s="59" t="inlineStr">
        <is>
          <t>Inclinometer installation</t>
        </is>
      </c>
      <c r="D144" s="78" t="inlineStr">
        <is>
          <t>ea</t>
        </is>
      </c>
      <c r="E144" s="79" t="n">
        <v>7820</v>
      </c>
      <c r="F144" s="79" t="n">
        <v>16800</v>
      </c>
      <c r="G144" s="79" t="n">
        <v>7480</v>
      </c>
      <c r="H144" s="79" t="n">
        <v>16320</v>
      </c>
      <c r="I144" s="80" t="n">
        <v>8670</v>
      </c>
      <c r="J144" s="80" t="n">
        <v>18880</v>
      </c>
      <c r="K144" s="80" t="n">
        <v>8500</v>
      </c>
      <c r="L144" s="80" t="n">
        <v>17280</v>
      </c>
      <c r="M144" s="81" t="n">
        <v>8925</v>
      </c>
      <c r="N144" s="81" t="n">
        <v>21600</v>
      </c>
      <c r="O144" s="81" t="n">
        <v>9350</v>
      </c>
      <c r="P144" s="81" t="n">
        <v>20800</v>
      </c>
      <c r="Q144" s="82" t="n">
        <v>11050</v>
      </c>
      <c r="R144" s="82" t="n">
        <v>24800</v>
      </c>
      <c r="S144" s="78" t="inlineStr">
        <is>
          <t>-</t>
        </is>
      </c>
      <c r="T144" s="78" t="inlineStr">
        <is>
          <t>-</t>
        </is>
      </c>
      <c r="U144" s="78" t="inlineStr">
        <is>
          <t>-</t>
        </is>
      </c>
      <c r="V144" s="123" t="n">
        <v>82800</v>
      </c>
      <c r="W144" s="123" t="n">
        <v>1266.76</v>
      </c>
      <c r="X144" s="123" t="n">
        <v>103139.23</v>
      </c>
      <c r="Y144" s="133" t="inlineStr">
        <is>
          <t>—</t>
        </is>
      </c>
      <c r="Z144" s="123" t="n">
        <v>2500</v>
      </c>
      <c r="AA144" s="124">
        <f>MIN(V144:Z144)</f>
        <v/>
      </c>
      <c r="AB144" s="125">
        <f>MEDIAN(V144:Z144)</f>
        <v/>
      </c>
      <c r="AC144" s="126">
        <f>MAX(V144:Z144)</f>
        <v/>
      </c>
      <c r="AD144" s="127">
        <f>IFERROR((AC144-AA144)/AB144,"—")</f>
        <v/>
      </c>
      <c r="AE144" s="128">
        <f>AVERAGE(G144,H144)</f>
        <v/>
      </c>
      <c r="AF144" s="129" t="inlineStr">
        <is>
          <t>OK — sources align</t>
        </is>
      </c>
      <c r="AG144" s="130" t="inlineStr">
        <is>
          <t>category-fallback</t>
        </is>
      </c>
      <c r="AH144" s="127">
        <f>IFERROR((AB144-AE144)/AE144,"—")</f>
        <v/>
      </c>
      <c r="AI144" s="127">
        <f>IFERROR((S144-AE144)/AE144,"—")</f>
        <v/>
      </c>
      <c r="AJ144" s="131">
        <f>IF(AD144&gt;1, "⚠ HIGH SPREAD", IF(ABS(AH144)&gt;0.5, "⚠ DELTA", "OK"))</f>
        <v/>
      </c>
    </row>
    <row r="145" ht="27.75" customHeight="1" s="56">
      <c r="A145" s="78" t="n"/>
      <c r="B145" s="78" t="inlineStr">
        <is>
          <t>T-20-007</t>
        </is>
      </c>
      <c r="C145" s="59" t="inlineStr">
        <is>
          <t>Internal drainage - chimney drain</t>
        </is>
      </c>
      <c r="D145" s="78" t="inlineStr">
        <is>
          <t>m3</t>
        </is>
      </c>
      <c r="E145" s="79" t="n">
        <v>101</v>
      </c>
      <c r="F145" s="79" t="n">
        <v>189</v>
      </c>
      <c r="G145" s="79" t="n">
        <v>97</v>
      </c>
      <c r="H145" s="79" t="n">
        <v>184</v>
      </c>
      <c r="I145" s="80" t="n">
        <v>112</v>
      </c>
      <c r="J145" s="80" t="n">
        <v>212</v>
      </c>
      <c r="K145" s="80" t="n">
        <v>110</v>
      </c>
      <c r="L145" s="80" t="n">
        <v>194</v>
      </c>
      <c r="M145" s="81" t="n">
        <v>116</v>
      </c>
      <c r="N145" s="81" t="n">
        <v>243</v>
      </c>
      <c r="O145" s="81" t="n">
        <v>121</v>
      </c>
      <c r="P145" s="81" t="n">
        <v>234</v>
      </c>
      <c r="Q145" s="82" t="n">
        <v>143</v>
      </c>
      <c r="R145" s="82" t="n">
        <v>279</v>
      </c>
      <c r="S145" s="83" t="n">
        <v>53</v>
      </c>
      <c r="T145" s="78" t="inlineStr">
        <is>
          <t>-</t>
        </is>
      </c>
      <c r="U145" s="78" t="inlineStr">
        <is>
          <t>-</t>
        </is>
      </c>
      <c r="V145" s="123" t="n">
        <v>31.2</v>
      </c>
      <c r="W145" s="123" t="n">
        <v>32.43</v>
      </c>
      <c r="X145" s="123" t="n">
        <v>25.28</v>
      </c>
      <c r="Y145" s="123" t="n">
        <v>10.86</v>
      </c>
      <c r="Z145" s="123" t="n">
        <v>55</v>
      </c>
      <c r="AA145" s="124">
        <f>MIN(V145:Z145)</f>
        <v/>
      </c>
      <c r="AB145" s="125">
        <f>MEDIAN(V145:Z145)</f>
        <v/>
      </c>
      <c r="AC145" s="126">
        <f>MAX(V145:Z145)</f>
        <v/>
      </c>
      <c r="AD145" s="127">
        <f>IFERROR((AC145-AA145)/AB145,"—")</f>
        <v/>
      </c>
      <c r="AE145" s="128">
        <f>AVERAGE(G145,H145)</f>
        <v/>
      </c>
      <c r="AF145" s="129" t="inlineStr">
        <is>
          <t>OK — sources align</t>
        </is>
      </c>
      <c r="AG145" s="130" t="inlineStr">
        <is>
          <t>category-fallback</t>
        </is>
      </c>
      <c r="AH145" s="127">
        <f>IFERROR((AB145-AE145)/AE145,"—")</f>
        <v/>
      </c>
      <c r="AI145" s="127">
        <f>IFERROR((S145-AE145)/AE145,"—")</f>
        <v/>
      </c>
      <c r="AJ145" s="131">
        <f>IF(AD145&gt;1, "⚠ HIGH SPREAD", IF(ABS(AH145)&gt;0.5, "⚠ DELTA", "OK"))</f>
        <v/>
      </c>
    </row>
    <row r="146" ht="27.75" customHeight="1" s="56">
      <c r="A146" s="78" t="n"/>
      <c r="B146" s="78" t="inlineStr">
        <is>
          <t>T-20-012</t>
        </is>
      </c>
      <c r="C146" s="59" t="inlineStr">
        <is>
          <t>Spillway - concrete-lined emergency overflow</t>
        </is>
      </c>
      <c r="D146" s="78" t="inlineStr">
        <is>
          <t>m2</t>
        </is>
      </c>
      <c r="E146" s="79" t="n">
        <v>414</v>
      </c>
      <c r="F146" s="79" t="n">
        <v>788</v>
      </c>
      <c r="G146" s="79" t="n">
        <v>396</v>
      </c>
      <c r="H146" s="79" t="n">
        <v>765</v>
      </c>
      <c r="I146" s="80" t="n">
        <v>459</v>
      </c>
      <c r="J146" s="80" t="n">
        <v>885</v>
      </c>
      <c r="K146" s="80" t="n">
        <v>450</v>
      </c>
      <c r="L146" s="80" t="n">
        <v>810</v>
      </c>
      <c r="M146" s="81" t="n">
        <v>472</v>
      </c>
      <c r="N146" s="81" t="n">
        <v>1013</v>
      </c>
      <c r="O146" s="81" t="n">
        <v>495</v>
      </c>
      <c r="P146" s="81" t="n">
        <v>975</v>
      </c>
      <c r="Q146" s="82" t="n">
        <v>585</v>
      </c>
      <c r="R146" s="82" t="n">
        <v>1162</v>
      </c>
      <c r="S146" s="83" t="n">
        <v>130000</v>
      </c>
      <c r="T146" s="78" t="inlineStr">
        <is>
          <t>-</t>
        </is>
      </c>
      <c r="U146" s="78" t="inlineStr">
        <is>
          <t>-</t>
        </is>
      </c>
      <c r="V146" s="123" t="n">
        <v>1.1</v>
      </c>
      <c r="W146" s="123" t="n">
        <v>1.39</v>
      </c>
      <c r="X146" s="123" t="n">
        <v>1.14</v>
      </c>
      <c r="Y146" s="123" t="n">
        <v>2</v>
      </c>
      <c r="Z146" s="123" t="n">
        <v>1.6</v>
      </c>
      <c r="AA146" s="124">
        <f>MIN(V146:Z146)</f>
        <v/>
      </c>
      <c r="AB146" s="125">
        <f>MEDIAN(V146:Z146)</f>
        <v/>
      </c>
      <c r="AC146" s="126">
        <f>MAX(V146:Z146)</f>
        <v/>
      </c>
      <c r="AD146" s="127">
        <f>IFERROR((AC146-AA146)/AB146,"—")</f>
        <v/>
      </c>
      <c r="AE146" s="128">
        <f>AVERAGE(G146,H146)</f>
        <v/>
      </c>
      <c r="AF146" s="129" t="inlineStr">
        <is>
          <t>OK — sources align</t>
        </is>
      </c>
      <c r="AG146" s="130" t="inlineStr">
        <is>
          <t>keyword-matched</t>
        </is>
      </c>
      <c r="AH146" s="127">
        <f>IFERROR((AB146-AE146)/AE146,"—")</f>
        <v/>
      </c>
      <c r="AI146" s="127">
        <f>IFERROR((S146-AE146)/AE146,"—")</f>
        <v/>
      </c>
      <c r="AJ146" s="131">
        <f>IF(AD146&gt;1, "⚠ HIGH SPREAD", IF(ABS(AH146)&gt;0.5, "⚠ DELTA", "OK"))</f>
        <v/>
      </c>
    </row>
    <row r="147" ht="27.75" customHeight="1" s="56">
      <c r="A147" s="78" t="n"/>
      <c r="B147" s="78" t="inlineStr">
        <is>
          <t>T-20-001</t>
        </is>
      </c>
      <c r="C147" s="59" t="inlineStr">
        <is>
          <t>Starter dam - Zone A core (low-perm clay)</t>
        </is>
      </c>
      <c r="D147" s="78" t="inlineStr">
        <is>
          <t>m3</t>
        </is>
      </c>
      <c r="E147" s="79" t="n">
        <v>35</v>
      </c>
      <c r="F147" s="79" t="n">
        <v>68</v>
      </c>
      <c r="G147" s="79" t="n">
        <v>33</v>
      </c>
      <c r="H147" s="79" t="n">
        <v>66</v>
      </c>
      <c r="I147" s="80" t="n">
        <v>39</v>
      </c>
      <c r="J147" s="80" t="n">
        <v>77</v>
      </c>
      <c r="K147" s="80" t="n">
        <v>38</v>
      </c>
      <c r="L147" s="80" t="n">
        <v>70</v>
      </c>
      <c r="M147" s="81" t="n">
        <v>40</v>
      </c>
      <c r="N147" s="81" t="n">
        <v>88</v>
      </c>
      <c r="O147" s="81" t="n">
        <v>42</v>
      </c>
      <c r="P147" s="81" t="n">
        <v>84</v>
      </c>
      <c r="Q147" s="82" t="n">
        <v>49</v>
      </c>
      <c r="R147" s="82" t="n">
        <v>101</v>
      </c>
      <c r="S147" s="78" t="inlineStr">
        <is>
          <t>-</t>
        </is>
      </c>
      <c r="T147" s="78" t="inlineStr">
        <is>
          <t>-</t>
        </is>
      </c>
      <c r="U147" s="78" t="inlineStr">
        <is>
          <t>-</t>
        </is>
      </c>
      <c r="V147" s="123" t="n">
        <v>41.25</v>
      </c>
      <c r="W147" s="123" t="n">
        <v>51.94</v>
      </c>
      <c r="X147" s="123" t="n">
        <v>11.42</v>
      </c>
      <c r="Y147" s="123" t="n">
        <v>12.44</v>
      </c>
      <c r="Z147" s="123" t="n">
        <v>32</v>
      </c>
      <c r="AA147" s="124">
        <f>MIN(V147:Z147)</f>
        <v/>
      </c>
      <c r="AB147" s="125">
        <f>MEDIAN(V147:Z147)</f>
        <v/>
      </c>
      <c r="AC147" s="126">
        <f>MAX(V147:Z147)</f>
        <v/>
      </c>
      <c r="AD147" s="127">
        <f>IFERROR((AC147-AA147)/AB147,"—")</f>
        <v/>
      </c>
      <c r="AE147" s="128">
        <f>AVERAGE(G147,H147)</f>
        <v/>
      </c>
      <c r="AF147" s="129" t="inlineStr">
        <is>
          <t>OK — sources align</t>
        </is>
      </c>
      <c r="AG147" s="130" t="inlineStr">
        <is>
          <t>category-fallback</t>
        </is>
      </c>
      <c r="AH147" s="127">
        <f>IFERROR((AB147-AE147)/AE147,"—")</f>
        <v/>
      </c>
      <c r="AI147" s="127">
        <f>IFERROR((S147-AE147)/AE147,"—")</f>
        <v/>
      </c>
      <c r="AJ147" s="131">
        <f>IF(AD147&gt;1, "⚠ HIGH SPREAD", IF(ABS(AH147)&gt;0.5, "⚠ DELTA", "OK"))</f>
        <v/>
      </c>
    </row>
    <row r="148" ht="27.75" customHeight="1" s="56">
      <c r="A148" s="78" t="n"/>
      <c r="B148" s="78" t="inlineStr">
        <is>
          <t>T-20-002</t>
        </is>
      </c>
      <c r="C148" s="59" t="inlineStr">
        <is>
          <t>Starter dam - Zone B filter fine</t>
        </is>
      </c>
      <c r="D148" s="78" t="inlineStr">
        <is>
          <t>m3</t>
        </is>
      </c>
      <c r="E148" s="79" t="n">
        <v>51</v>
      </c>
      <c r="F148" s="79" t="n">
        <v>100</v>
      </c>
      <c r="G148" s="79" t="n">
        <v>48</v>
      </c>
      <c r="H148" s="79" t="n">
        <v>97</v>
      </c>
      <c r="I148" s="80" t="n">
        <v>56</v>
      </c>
      <c r="J148" s="80" t="n">
        <v>112</v>
      </c>
      <c r="K148" s="80" t="n">
        <v>55</v>
      </c>
      <c r="L148" s="80" t="n">
        <v>103</v>
      </c>
      <c r="M148" s="81" t="n">
        <v>58</v>
      </c>
      <c r="N148" s="81" t="n">
        <v>128</v>
      </c>
      <c r="O148" s="81" t="n">
        <v>61</v>
      </c>
      <c r="P148" s="81" t="n">
        <v>124</v>
      </c>
      <c r="Q148" s="82" t="n">
        <v>72</v>
      </c>
      <c r="R148" s="82" t="n">
        <v>147</v>
      </c>
      <c r="S148" s="78" t="inlineStr">
        <is>
          <t>-</t>
        </is>
      </c>
      <c r="T148" s="78" t="inlineStr">
        <is>
          <t>-</t>
        </is>
      </c>
      <c r="U148" s="78" t="inlineStr">
        <is>
          <t>-</t>
        </is>
      </c>
      <c r="V148" s="123" t="n">
        <v>41.25</v>
      </c>
      <c r="W148" s="123" t="n">
        <v>51.94</v>
      </c>
      <c r="X148" s="123" t="n">
        <v>11.42</v>
      </c>
      <c r="Y148" s="123" t="n">
        <v>12.44</v>
      </c>
      <c r="Z148" s="123" t="n">
        <v>32</v>
      </c>
      <c r="AA148" s="124">
        <f>MIN(V148:Z148)</f>
        <v/>
      </c>
      <c r="AB148" s="125">
        <f>MEDIAN(V148:Z148)</f>
        <v/>
      </c>
      <c r="AC148" s="126">
        <f>MAX(V148:Z148)</f>
        <v/>
      </c>
      <c r="AD148" s="127">
        <f>IFERROR((AC148-AA148)/AB148,"—")</f>
        <v/>
      </c>
      <c r="AE148" s="128">
        <f>AVERAGE(G148,H148)</f>
        <v/>
      </c>
      <c r="AF148" s="129" t="inlineStr">
        <is>
          <t>OK — sources align</t>
        </is>
      </c>
      <c r="AG148" s="130" t="inlineStr">
        <is>
          <t>category-fallback</t>
        </is>
      </c>
      <c r="AH148" s="127">
        <f>IFERROR((AB148-AE148)/AE148,"—")</f>
        <v/>
      </c>
      <c r="AI148" s="127">
        <f>IFERROR((S148-AE148)/AE148,"—")</f>
        <v/>
      </c>
      <c r="AJ148" s="131">
        <f>IF(AD148&gt;1, "⚠ HIGH SPREAD", IF(ABS(AH148)&gt;0.5, "⚠ DELTA", "OK"))</f>
        <v/>
      </c>
    </row>
    <row r="149" ht="27.75" customHeight="1" s="56">
      <c r="A149" s="78" t="n"/>
      <c r="B149" s="78" t="inlineStr">
        <is>
          <t>T-20-003</t>
        </is>
      </c>
      <c r="C149" s="59" t="inlineStr">
        <is>
          <t>Starter dam - Zone C filter coarse</t>
        </is>
      </c>
      <c r="D149" s="78" t="inlineStr">
        <is>
          <t>m3</t>
        </is>
      </c>
      <c r="E149" s="79" t="n">
        <v>60</v>
      </c>
      <c r="F149" s="79" t="n">
        <v>121</v>
      </c>
      <c r="G149" s="79" t="n">
        <v>57</v>
      </c>
      <c r="H149" s="79" t="n">
        <v>117</v>
      </c>
      <c r="I149" s="80" t="n">
        <v>66</v>
      </c>
      <c r="J149" s="80" t="n">
        <v>136</v>
      </c>
      <c r="K149" s="80" t="n">
        <v>65</v>
      </c>
      <c r="L149" s="80" t="n">
        <v>124</v>
      </c>
      <c r="M149" s="81" t="n">
        <v>68</v>
      </c>
      <c r="N149" s="81" t="n">
        <v>155</v>
      </c>
      <c r="O149" s="81" t="n">
        <v>72</v>
      </c>
      <c r="P149" s="81" t="n">
        <v>150</v>
      </c>
      <c r="Q149" s="82" t="n">
        <v>84</v>
      </c>
      <c r="R149" s="82" t="n">
        <v>178</v>
      </c>
      <c r="S149" s="78" t="inlineStr">
        <is>
          <t>-</t>
        </is>
      </c>
      <c r="T149" s="78" t="inlineStr">
        <is>
          <t>-</t>
        </is>
      </c>
      <c r="U149" s="78" t="inlineStr">
        <is>
          <t>-</t>
        </is>
      </c>
      <c r="V149" s="123" t="n">
        <v>41.25</v>
      </c>
      <c r="W149" s="123" t="n">
        <v>51.94</v>
      </c>
      <c r="X149" s="123" t="n">
        <v>11.42</v>
      </c>
      <c r="Y149" s="123" t="n">
        <v>12.44</v>
      </c>
      <c r="Z149" s="123" t="n">
        <v>32</v>
      </c>
      <c r="AA149" s="124">
        <f>MIN(V149:Z149)</f>
        <v/>
      </c>
      <c r="AB149" s="125">
        <f>MEDIAN(V149:Z149)</f>
        <v/>
      </c>
      <c r="AC149" s="126">
        <f>MAX(V149:Z149)</f>
        <v/>
      </c>
      <c r="AD149" s="127">
        <f>IFERROR((AC149-AA149)/AB149,"—")</f>
        <v/>
      </c>
      <c r="AE149" s="128">
        <f>AVERAGE(G149,H149)</f>
        <v/>
      </c>
      <c r="AF149" s="129" t="inlineStr">
        <is>
          <t>OK — sources align</t>
        </is>
      </c>
      <c r="AG149" s="130" t="inlineStr">
        <is>
          <t>category-fallback</t>
        </is>
      </c>
      <c r="AH149" s="127">
        <f>IFERROR((AB149-AE149)/AE149,"—")</f>
        <v/>
      </c>
      <c r="AI149" s="127">
        <f>IFERROR((S149-AE149)/AE149,"—")</f>
        <v/>
      </c>
      <c r="AJ149" s="131">
        <f>IF(AD149&gt;1, "⚠ HIGH SPREAD", IF(ABS(AH149)&gt;0.5, "⚠ DELTA", "OK"))</f>
        <v/>
      </c>
    </row>
    <row r="150" ht="27.75" customHeight="1" s="56">
      <c r="A150" s="78" t="n"/>
      <c r="B150" s="78" t="inlineStr">
        <is>
          <t>T-20-004</t>
        </is>
      </c>
      <c r="C150" s="59" t="inlineStr">
        <is>
          <t>Starter dam - Zone D random rockfill</t>
        </is>
      </c>
      <c r="D150" s="78" t="inlineStr">
        <is>
          <t>m3</t>
        </is>
      </c>
      <c r="E150" s="79" t="n">
        <v>20</v>
      </c>
      <c r="F150" s="79" t="n">
        <v>40</v>
      </c>
      <c r="G150" s="79" t="n">
        <v>19</v>
      </c>
      <c r="H150" s="79" t="n">
        <v>39</v>
      </c>
      <c r="I150" s="80" t="n">
        <v>22</v>
      </c>
      <c r="J150" s="80" t="n">
        <v>45</v>
      </c>
      <c r="K150" s="80" t="n">
        <v>22</v>
      </c>
      <c r="L150" s="80" t="n">
        <v>41</v>
      </c>
      <c r="M150" s="81" t="n">
        <v>23</v>
      </c>
      <c r="N150" s="81" t="n">
        <v>51</v>
      </c>
      <c r="O150" s="81" t="n">
        <v>24</v>
      </c>
      <c r="P150" s="81" t="n">
        <v>49</v>
      </c>
      <c r="Q150" s="82" t="n">
        <v>29</v>
      </c>
      <c r="R150" s="82" t="n">
        <v>59</v>
      </c>
      <c r="S150" s="78" t="inlineStr">
        <is>
          <t>-</t>
        </is>
      </c>
      <c r="T150" s="78" t="inlineStr">
        <is>
          <t>-</t>
        </is>
      </c>
      <c r="U150" s="78" t="inlineStr">
        <is>
          <t>-</t>
        </is>
      </c>
      <c r="V150" s="123" t="n">
        <v>6.2</v>
      </c>
      <c r="W150" s="123" t="n">
        <v>49.78</v>
      </c>
      <c r="X150" s="123" t="n">
        <v>11.42</v>
      </c>
      <c r="Y150" s="123" t="n">
        <v>12.44</v>
      </c>
      <c r="Z150" s="123" t="n">
        <v>13.5</v>
      </c>
      <c r="AA150" s="124">
        <f>MIN(V150:Z150)</f>
        <v/>
      </c>
      <c r="AB150" s="125">
        <f>MEDIAN(V150:Z150)</f>
        <v/>
      </c>
      <c r="AC150" s="126">
        <f>MAX(V150:Z150)</f>
        <v/>
      </c>
      <c r="AD150" s="127">
        <f>IFERROR((AC150-AA150)/AB150,"—")</f>
        <v/>
      </c>
      <c r="AE150" s="128">
        <f>AVERAGE(G150,H150)</f>
        <v/>
      </c>
      <c r="AF150" s="129" t="inlineStr">
        <is>
          <t>OK — sources align</t>
        </is>
      </c>
      <c r="AG150" s="130" t="inlineStr">
        <is>
          <t>keyword-matched</t>
        </is>
      </c>
      <c r="AH150" s="127">
        <f>IFERROR((AB150-AE150)/AE150,"—")</f>
        <v/>
      </c>
      <c r="AI150" s="127">
        <f>IFERROR((S150-AE150)/AE150,"—")</f>
        <v/>
      </c>
      <c r="AJ150" s="131">
        <f>IF(AD150&gt;1, "⚠ HIGH SPREAD", IF(ABS(AH150)&gt;0.5, "⚠ DELTA", "OK"))</f>
        <v/>
      </c>
    </row>
    <row r="151" ht="27.75" customHeight="1" s="56">
      <c r="A151" s="78" t="n"/>
      <c r="B151" s="78" t="inlineStr">
        <is>
          <t>T-20-008</t>
        </is>
      </c>
      <c r="C151" s="59" t="inlineStr">
        <is>
          <t>Toe drain - supply+install w/ geotextile sock</t>
        </is>
      </c>
      <c r="D151" s="78" t="inlineStr">
        <is>
          <t>m</t>
        </is>
      </c>
      <c r="E151" s="79" t="n">
        <v>152</v>
      </c>
      <c r="F151" s="79" t="n">
        <v>299</v>
      </c>
      <c r="G151" s="79" t="n">
        <v>145</v>
      </c>
      <c r="H151" s="79" t="n">
        <v>291</v>
      </c>
      <c r="I151" s="80" t="n">
        <v>168</v>
      </c>
      <c r="J151" s="80" t="n">
        <v>336</v>
      </c>
      <c r="K151" s="80" t="n">
        <v>165</v>
      </c>
      <c r="L151" s="80" t="n">
        <v>308</v>
      </c>
      <c r="M151" s="81" t="n">
        <v>173</v>
      </c>
      <c r="N151" s="81" t="n">
        <v>385</v>
      </c>
      <c r="O151" s="81" t="n">
        <v>182</v>
      </c>
      <c r="P151" s="81" t="n">
        <v>370</v>
      </c>
      <c r="Q151" s="82" t="n">
        <v>214</v>
      </c>
      <c r="R151" s="82" t="n">
        <v>442</v>
      </c>
      <c r="S151" s="83" t="n">
        <v>6</v>
      </c>
      <c r="T151" s="78" t="inlineStr">
        <is>
          <t>-</t>
        </is>
      </c>
      <c r="U151" s="78" t="inlineStr">
        <is>
          <t>-</t>
        </is>
      </c>
      <c r="V151" s="135" t="inlineStr">
        <is>
          <t>—</t>
        </is>
      </c>
      <c r="W151" s="135" t="inlineStr">
        <is>
          <t>—</t>
        </is>
      </c>
      <c r="X151" s="135" t="inlineStr">
        <is>
          <t>—</t>
        </is>
      </c>
      <c r="Y151" s="133" t="inlineStr">
        <is>
          <t>—</t>
        </is>
      </c>
      <c r="Z151" s="132" t="inlineStr">
        <is>
          <t>—</t>
        </is>
      </c>
      <c r="AA151" s="134" t="inlineStr">
        <is>
          <t>—</t>
        </is>
      </c>
      <c r="AB151" s="134" t="inlineStr">
        <is>
          <t>—</t>
        </is>
      </c>
      <c r="AC151" s="132" t="inlineStr">
        <is>
          <t>—</t>
        </is>
      </c>
      <c r="AD151" s="132" t="inlineStr">
        <is>
          <t>—</t>
        </is>
      </c>
      <c r="AE151" s="128">
        <f>AVERAGE(G151,H151)</f>
        <v/>
      </c>
      <c r="AF151" s="129" t="inlineStr">
        <is>
          <t>No bidder data; SME only</t>
        </is>
      </c>
      <c r="AG151" s="130" t="inlineStr">
        <is>
          <t>no match</t>
        </is>
      </c>
      <c r="AH151" s="127">
        <f>IFERROR((AB151-AE151)/AE151,"—")</f>
        <v/>
      </c>
      <c r="AI151" s="127">
        <f>IFERROR((S151-AE151)/AE151,"—")</f>
        <v/>
      </c>
      <c r="AJ151" s="131" t="inlineStr">
        <is>
          <t>—</t>
        </is>
      </c>
    </row>
    <row r="152" ht="27.75" customHeight="1" s="56">
      <c r="A152" s="78" t="n"/>
      <c r="B152" s="78" t="inlineStr">
        <is>
          <t>T-20-009</t>
        </is>
      </c>
      <c r="C152" s="59" t="inlineStr">
        <is>
          <t>VW piezometer installation</t>
        </is>
      </c>
      <c r="D152" s="78" t="inlineStr">
        <is>
          <t>ea</t>
        </is>
      </c>
      <c r="E152" s="79" t="n">
        <v>3220</v>
      </c>
      <c r="F152" s="79" t="n">
        <v>6825</v>
      </c>
      <c r="G152" s="79" t="n">
        <v>3080</v>
      </c>
      <c r="H152" s="79" t="n">
        <v>6630</v>
      </c>
      <c r="I152" s="80" t="n">
        <v>3570</v>
      </c>
      <c r="J152" s="80" t="n">
        <v>7670</v>
      </c>
      <c r="K152" s="80" t="n">
        <v>3500</v>
      </c>
      <c r="L152" s="80" t="n">
        <v>7020</v>
      </c>
      <c r="M152" s="81" t="n">
        <v>3675</v>
      </c>
      <c r="N152" s="81" t="n">
        <v>8775</v>
      </c>
      <c r="O152" s="81" t="n">
        <v>3850</v>
      </c>
      <c r="P152" s="81" t="n">
        <v>8450</v>
      </c>
      <c r="Q152" s="82" t="n">
        <v>4550</v>
      </c>
      <c r="R152" s="82" t="n">
        <v>10075</v>
      </c>
      <c r="S152" s="78" t="inlineStr">
        <is>
          <t>-</t>
        </is>
      </c>
      <c r="T152" s="78" t="inlineStr">
        <is>
          <t>-</t>
        </is>
      </c>
      <c r="U152" s="78" t="inlineStr">
        <is>
          <t>-</t>
        </is>
      </c>
      <c r="V152" s="123" t="n">
        <v>82800</v>
      </c>
      <c r="W152" s="123" t="n">
        <v>1266.76</v>
      </c>
      <c r="X152" s="123" t="n">
        <v>103139.23</v>
      </c>
      <c r="Y152" s="133" t="inlineStr">
        <is>
          <t>—</t>
        </is>
      </c>
      <c r="Z152" s="123" t="n">
        <v>2500</v>
      </c>
      <c r="AA152" s="124">
        <f>MIN(V152:Z152)</f>
        <v/>
      </c>
      <c r="AB152" s="125">
        <f>MEDIAN(V152:Z152)</f>
        <v/>
      </c>
      <c r="AC152" s="126">
        <f>MAX(V152:Z152)</f>
        <v/>
      </c>
      <c r="AD152" s="127">
        <f>IFERROR((AC152-AA152)/AB152,"—")</f>
        <v/>
      </c>
      <c r="AE152" s="128">
        <f>AVERAGE(G152,H152)</f>
        <v/>
      </c>
      <c r="AF152" s="129" t="inlineStr">
        <is>
          <t>OK — sources align</t>
        </is>
      </c>
      <c r="AG152" s="130" t="inlineStr">
        <is>
          <t>category-fallback</t>
        </is>
      </c>
      <c r="AH152" s="127">
        <f>IFERROR((AB152-AE152)/AE152,"—")</f>
        <v/>
      </c>
      <c r="AI152" s="127">
        <f>IFERROR((S152-AE152)/AE152,"—")</f>
        <v/>
      </c>
      <c r="AJ152" s="131">
        <f>IF(AD152&gt;1, "⚠ HIGH SPREAD", IF(ABS(AH152)&gt;0.5, "⚠ DELTA", "OK"))</f>
        <v/>
      </c>
    </row>
    <row r="153" ht="19.5" customHeight="1" s="56">
      <c r="A153" s="77" t="inlineStr">
        <is>
          <t>T. Heap Leach</t>
        </is>
      </c>
    </row>
    <row r="154" ht="27.75" customHeight="1" s="56">
      <c r="A154" s="78" t="n"/>
      <c r="B154" s="78" t="inlineStr">
        <is>
          <t>H-30-006</t>
        </is>
      </c>
      <c r="C154" s="59" t="inlineStr">
        <is>
          <t>Drain rock cover 300mm - supply+place</t>
        </is>
      </c>
      <c r="D154" s="78" t="inlineStr">
        <is>
          <t>m3</t>
        </is>
      </c>
      <c r="E154" s="79" t="n">
        <v>51</v>
      </c>
      <c r="F154" s="79" t="n">
        <v>100</v>
      </c>
      <c r="G154" s="79" t="n">
        <v>48</v>
      </c>
      <c r="H154" s="79" t="n">
        <v>97</v>
      </c>
      <c r="I154" s="80" t="n">
        <v>56</v>
      </c>
      <c r="J154" s="80" t="n">
        <v>112</v>
      </c>
      <c r="K154" s="80" t="n">
        <v>55</v>
      </c>
      <c r="L154" s="80" t="n">
        <v>103</v>
      </c>
      <c r="M154" s="81" t="n">
        <v>58</v>
      </c>
      <c r="N154" s="81" t="n">
        <v>128</v>
      </c>
      <c r="O154" s="81" t="n">
        <v>61</v>
      </c>
      <c r="P154" s="81" t="n">
        <v>124</v>
      </c>
      <c r="Q154" s="82" t="n">
        <v>72</v>
      </c>
      <c r="R154" s="82" t="n">
        <v>147</v>
      </c>
      <c r="S154" s="83" t="n">
        <v>17.5</v>
      </c>
      <c r="T154" s="78" t="inlineStr">
        <is>
          <t>-</t>
        </is>
      </c>
      <c r="U154" s="78" t="inlineStr">
        <is>
          <t>-</t>
        </is>
      </c>
      <c r="V154" s="123" t="n">
        <v>50.95</v>
      </c>
      <c r="W154" s="123" t="n">
        <v>51.94</v>
      </c>
      <c r="X154" s="123" t="n">
        <v>11.42</v>
      </c>
      <c r="Y154" s="123" t="n">
        <v>12.44</v>
      </c>
      <c r="Z154" s="123" t="n">
        <v>40</v>
      </c>
      <c r="AA154" s="124">
        <f>MIN(V154:Z154)</f>
        <v/>
      </c>
      <c r="AB154" s="125">
        <f>MEDIAN(V154:Z154)</f>
        <v/>
      </c>
      <c r="AC154" s="126">
        <f>MAX(V154:Z154)</f>
        <v/>
      </c>
      <c r="AD154" s="127">
        <f>IFERROR((AC154-AA154)/AB154,"—")</f>
        <v/>
      </c>
      <c r="AE154" s="128">
        <f>AVERAGE(G154,H154)</f>
        <v/>
      </c>
      <c r="AF154" s="129" t="inlineStr">
        <is>
          <t>OK — sources align</t>
        </is>
      </c>
      <c r="AG154" s="130" t="inlineStr">
        <is>
          <t>size-matched</t>
        </is>
      </c>
      <c r="AH154" s="127">
        <f>IFERROR((AB154-AE154)/AE154,"—")</f>
        <v/>
      </c>
      <c r="AI154" s="127">
        <f>IFERROR((S154-AE154)/AE154,"—")</f>
        <v/>
      </c>
      <c r="AJ154" s="131">
        <f>IF(AD154&gt;1, "⚠ HIGH SPREAD", IF(ABS(AH154)&gt;0.5, "⚠ DELTA", "OK"))</f>
        <v/>
      </c>
    </row>
    <row r="155" ht="27.75" customHeight="1" s="56">
      <c r="A155" s="78" t="n"/>
      <c r="B155" s="78" t="inlineStr">
        <is>
          <t>H-30-010</t>
        </is>
      </c>
      <c r="C155" s="59" t="inlineStr">
        <is>
          <t>Drip irrigation network - S+I per ha</t>
        </is>
      </c>
      <c r="D155" s="78" t="inlineStr">
        <is>
          <t>ha</t>
        </is>
      </c>
      <c r="E155" s="79" t="n">
        <v>69000</v>
      </c>
      <c r="F155" s="79" t="n">
        <v>147000</v>
      </c>
      <c r="G155" s="79" t="n">
        <v>66000</v>
      </c>
      <c r="H155" s="79" t="n">
        <v>142800</v>
      </c>
      <c r="I155" s="80" t="n">
        <v>76500</v>
      </c>
      <c r="J155" s="80" t="n">
        <v>165200</v>
      </c>
      <c r="K155" s="80" t="n">
        <v>75000</v>
      </c>
      <c r="L155" s="80" t="n">
        <v>151200</v>
      </c>
      <c r="M155" s="81" t="n">
        <v>78750</v>
      </c>
      <c r="N155" s="81" t="n">
        <v>189000</v>
      </c>
      <c r="O155" s="81" t="n">
        <v>82500</v>
      </c>
      <c r="P155" s="81" t="n">
        <v>182000</v>
      </c>
      <c r="Q155" s="82" t="n">
        <v>97500</v>
      </c>
      <c r="R155" s="82" t="n">
        <v>217000</v>
      </c>
      <c r="S155" s="78" t="inlineStr">
        <is>
          <t>-</t>
        </is>
      </c>
      <c r="T155" s="78" t="inlineStr">
        <is>
          <t>-</t>
        </is>
      </c>
      <c r="U155" s="78" t="inlineStr">
        <is>
          <t>-</t>
        </is>
      </c>
      <c r="V155" s="132" t="inlineStr">
        <is>
          <t>—</t>
        </is>
      </c>
      <c r="W155" s="132" t="inlineStr">
        <is>
          <t>—</t>
        </is>
      </c>
      <c r="X155" s="132" t="inlineStr">
        <is>
          <t>—</t>
        </is>
      </c>
      <c r="Y155" s="133" t="inlineStr">
        <is>
          <t>—</t>
        </is>
      </c>
      <c r="Z155" s="132" t="inlineStr">
        <is>
          <t>—</t>
        </is>
      </c>
      <c r="AA155" s="134" t="inlineStr">
        <is>
          <t>—</t>
        </is>
      </c>
      <c r="AB155" s="134" t="inlineStr">
        <is>
          <t>—</t>
        </is>
      </c>
      <c r="AC155" s="132" t="inlineStr">
        <is>
          <t>—</t>
        </is>
      </c>
      <c r="AD155" s="132" t="inlineStr">
        <is>
          <t>—</t>
        </is>
      </c>
      <c r="AE155" s="128">
        <f>AVERAGE(G155,H155)</f>
        <v/>
      </c>
      <c r="AF155" s="129" t="inlineStr">
        <is>
          <t>No bidder data; SME only</t>
        </is>
      </c>
      <c r="AG155" s="130" t="inlineStr">
        <is>
          <t>no match</t>
        </is>
      </c>
      <c r="AH155" s="127">
        <f>IFERROR((AB155-AE155)/AE155,"—")</f>
        <v/>
      </c>
      <c r="AI155" s="127">
        <f>IFERROR((S155-AE155)/AE155,"—")</f>
        <v/>
      </c>
      <c r="AJ155" s="131" t="inlineStr">
        <is>
          <t>—</t>
        </is>
      </c>
    </row>
    <row r="156" ht="27.75" customHeight="1" s="56">
      <c r="A156" s="78" t="n"/>
      <c r="B156" s="78" t="inlineStr">
        <is>
          <t>H-30-005</t>
        </is>
      </c>
      <c r="C156" s="59" t="inlineStr">
        <is>
          <t>Geonet drainage layer between liners - S+I</t>
        </is>
      </c>
      <c r="D156" s="78" t="inlineStr">
        <is>
          <t>m2</t>
        </is>
      </c>
      <c r="E156" s="79" t="n">
        <v>17</v>
      </c>
      <c r="F156" s="79" t="n">
        <v>29</v>
      </c>
      <c r="G156" s="79" t="n">
        <v>16</v>
      </c>
      <c r="H156" s="79" t="n">
        <v>29</v>
      </c>
      <c r="I156" s="80" t="n">
        <v>18</v>
      </c>
      <c r="J156" s="80" t="n">
        <v>33</v>
      </c>
      <c r="K156" s="80" t="n">
        <v>18</v>
      </c>
      <c r="L156" s="80" t="n">
        <v>30</v>
      </c>
      <c r="M156" s="81" t="n">
        <v>19</v>
      </c>
      <c r="N156" s="81" t="n">
        <v>38</v>
      </c>
      <c r="O156" s="81" t="n">
        <v>20</v>
      </c>
      <c r="P156" s="81" t="n">
        <v>36</v>
      </c>
      <c r="Q156" s="82" t="n">
        <v>23</v>
      </c>
      <c r="R156" s="82" t="n">
        <v>43</v>
      </c>
      <c r="S156" s="83" t="n">
        <v>13</v>
      </c>
      <c r="T156" s="78" t="inlineStr">
        <is>
          <t>-</t>
        </is>
      </c>
      <c r="U156" s="78" t="inlineStr">
        <is>
          <t>-</t>
        </is>
      </c>
      <c r="V156" s="123" t="n">
        <v>30.6</v>
      </c>
      <c r="W156" s="123" t="n">
        <v>10.11</v>
      </c>
      <c r="X156" s="123" t="n">
        <v>19.18</v>
      </c>
      <c r="Y156" s="123" t="n">
        <v>0.83</v>
      </c>
      <c r="Z156" s="123" t="n">
        <v>20</v>
      </c>
      <c r="AA156" s="124">
        <f>MIN(V156:Z156)</f>
        <v/>
      </c>
      <c r="AB156" s="125">
        <f>MEDIAN(V156:Z156)</f>
        <v/>
      </c>
      <c r="AC156" s="126">
        <f>MAX(V156:Z156)</f>
        <v/>
      </c>
      <c r="AD156" s="127">
        <f>IFERROR((AC156-AA156)/AB156,"—")</f>
        <v/>
      </c>
      <c r="AE156" s="128">
        <f>AVERAGE(G156,H156)</f>
        <v/>
      </c>
      <c r="AF156" s="129" t="inlineStr">
        <is>
          <t>OK — sources align</t>
        </is>
      </c>
      <c r="AG156" s="130" t="inlineStr">
        <is>
          <t>keyword-matched</t>
        </is>
      </c>
      <c r="AH156" s="127">
        <f>IFERROR((AB156-AE156)/AE156,"—")</f>
        <v/>
      </c>
      <c r="AI156" s="127">
        <f>IFERROR((S156-AE156)/AE156,"—")</f>
        <v/>
      </c>
      <c r="AJ156" s="131">
        <f>IF(AD156&gt;1, "⚠ HIGH SPREAD", IF(ABS(AH156)&gt;0.5, "⚠ DELTA", "OK"))</f>
        <v/>
      </c>
    </row>
    <row r="157" ht="27.75" customHeight="1" s="56">
      <c r="A157" s="78" t="n"/>
      <c r="B157" s="78" t="inlineStr">
        <is>
          <t>H-30-007</t>
        </is>
      </c>
      <c r="C157" s="59" t="inlineStr">
        <is>
          <t>HDPE perforated collection manifold 150-200mm - S+I</t>
        </is>
      </c>
      <c r="D157" s="78" t="inlineStr">
        <is>
          <t>m</t>
        </is>
      </c>
      <c r="E157" s="79" t="n">
        <v>202</v>
      </c>
      <c r="F157" s="79" t="n">
        <v>378</v>
      </c>
      <c r="G157" s="79" t="n">
        <v>194</v>
      </c>
      <c r="H157" s="79" t="n">
        <v>367</v>
      </c>
      <c r="I157" s="80" t="n">
        <v>224</v>
      </c>
      <c r="J157" s="80" t="n">
        <v>425</v>
      </c>
      <c r="K157" s="80" t="n">
        <v>220</v>
      </c>
      <c r="L157" s="80" t="n">
        <v>389</v>
      </c>
      <c r="M157" s="81" t="n">
        <v>231</v>
      </c>
      <c r="N157" s="81" t="n">
        <v>486</v>
      </c>
      <c r="O157" s="81" t="n">
        <v>242</v>
      </c>
      <c r="P157" s="81" t="n">
        <v>468</v>
      </c>
      <c r="Q157" s="82" t="n">
        <v>286</v>
      </c>
      <c r="R157" s="82" t="n">
        <v>558</v>
      </c>
      <c r="S157" s="83" t="n">
        <v>53</v>
      </c>
      <c r="T157" s="78" t="inlineStr">
        <is>
          <t>-</t>
        </is>
      </c>
      <c r="U157" s="78" t="inlineStr">
        <is>
          <t>-</t>
        </is>
      </c>
      <c r="V157" s="123" t="n">
        <v>204</v>
      </c>
      <c r="W157" s="123" t="n">
        <v>2539.78</v>
      </c>
      <c r="X157" s="123" t="n">
        <v>422.46</v>
      </c>
      <c r="Y157" s="123" t="n">
        <v>369.63</v>
      </c>
      <c r="Z157" s="123" t="n">
        <v>1500</v>
      </c>
      <c r="AA157" s="124">
        <f>MIN(V157:Z157)</f>
        <v/>
      </c>
      <c r="AB157" s="125">
        <f>MEDIAN(V157:Z157)</f>
        <v/>
      </c>
      <c r="AC157" s="126">
        <f>MAX(V157:Z157)</f>
        <v/>
      </c>
      <c r="AD157" s="127">
        <f>IFERROR((AC157-AA157)/AB157,"—")</f>
        <v/>
      </c>
      <c r="AE157" s="128">
        <f>AVERAGE(G157,H157)</f>
        <v/>
      </c>
      <c r="AF157" s="129" t="inlineStr">
        <is>
          <t>OK — sources align</t>
        </is>
      </c>
      <c r="AG157" s="130" t="inlineStr">
        <is>
          <t>size-matched; category-fallback</t>
        </is>
      </c>
      <c r="AH157" s="127">
        <f>IFERROR((AB157-AE157)/AE157,"—")</f>
        <v/>
      </c>
      <c r="AI157" s="127">
        <f>IFERROR((S157-AE157)/AE157,"—")</f>
        <v/>
      </c>
      <c r="AJ157" s="131">
        <f>IF(AD157&gt;1, "⚠ HIGH SPREAD", IF(ABS(AH157)&gt;0.5, "⚠ DELTA", "OK"))</f>
        <v/>
      </c>
    </row>
    <row r="158" ht="27.75" customHeight="1" s="56">
      <c r="A158" s="78" t="n"/>
      <c r="B158" s="78" t="inlineStr">
        <is>
          <t>H-30-002</t>
        </is>
      </c>
      <c r="C158" s="59" t="inlineStr">
        <is>
          <t>Low-perm clay liner 300mm</t>
        </is>
      </c>
      <c r="D158" s="78" t="inlineStr">
        <is>
          <t>m2</t>
        </is>
      </c>
      <c r="E158" s="79" t="n">
        <v>26</v>
      </c>
      <c r="F158" s="79" t="n">
        <v>50</v>
      </c>
      <c r="G158" s="79" t="n">
        <v>25</v>
      </c>
      <c r="H158" s="79" t="n">
        <v>49</v>
      </c>
      <c r="I158" s="80" t="n">
        <v>29</v>
      </c>
      <c r="J158" s="80" t="n">
        <v>57</v>
      </c>
      <c r="K158" s="80" t="n">
        <v>28</v>
      </c>
      <c r="L158" s="80" t="n">
        <v>52</v>
      </c>
      <c r="M158" s="81" t="n">
        <v>29</v>
      </c>
      <c r="N158" s="81" t="n">
        <v>65</v>
      </c>
      <c r="O158" s="81" t="n">
        <v>31</v>
      </c>
      <c r="P158" s="81" t="n">
        <v>62</v>
      </c>
      <c r="Q158" s="82" t="n">
        <v>36</v>
      </c>
      <c r="R158" s="82" t="n">
        <v>74</v>
      </c>
      <c r="S158" s="78" t="inlineStr">
        <is>
          <t>-</t>
        </is>
      </c>
      <c r="T158" s="78" t="inlineStr">
        <is>
          <t>-</t>
        </is>
      </c>
      <c r="U158" s="78" t="inlineStr">
        <is>
          <t>-</t>
        </is>
      </c>
      <c r="V158" s="123" t="n">
        <v>30.6</v>
      </c>
      <c r="W158" s="123" t="n">
        <v>36.27</v>
      </c>
      <c r="X158" s="123" t="n">
        <v>19.18</v>
      </c>
      <c r="Y158" s="123" t="n">
        <v>2.3</v>
      </c>
      <c r="Z158" s="123" t="n">
        <v>20</v>
      </c>
      <c r="AA158" s="124">
        <f>MIN(V158:Z158)</f>
        <v/>
      </c>
      <c r="AB158" s="125">
        <f>MEDIAN(V158:Z158)</f>
        <v/>
      </c>
      <c r="AC158" s="126">
        <f>MAX(V158:Z158)</f>
        <v/>
      </c>
      <c r="AD158" s="127">
        <f>IFERROR((AC158-AA158)/AB158,"—")</f>
        <v/>
      </c>
      <c r="AE158" s="128">
        <f>AVERAGE(G158,H158)</f>
        <v/>
      </c>
      <c r="AF158" s="129" t="inlineStr">
        <is>
          <t>OK — sources align</t>
        </is>
      </c>
      <c r="AG158" s="130" t="inlineStr">
        <is>
          <t>category-fallback</t>
        </is>
      </c>
      <c r="AH158" s="127">
        <f>IFERROR((AB158-AE158)/AE158,"—")</f>
        <v/>
      </c>
      <c r="AI158" s="127">
        <f>IFERROR((S158-AE158)/AE158,"—")</f>
        <v/>
      </c>
      <c r="AJ158" s="131">
        <f>IF(AD158&gt;1, "⚠ HIGH SPREAD", IF(ABS(AH158)&gt;0.5, "⚠ DELTA", "OK"))</f>
        <v/>
      </c>
    </row>
    <row r="159" ht="27.75" customHeight="1" s="56">
      <c r="A159" s="78" t="n"/>
      <c r="B159" s="78" t="inlineStr">
        <is>
          <t>H-30-008</t>
        </is>
      </c>
      <c r="C159" s="59" t="inlineStr">
        <is>
          <t>PLS pond - multi-liner</t>
        </is>
      </c>
      <c r="D159" s="78" t="inlineStr">
        <is>
          <t>m2</t>
        </is>
      </c>
      <c r="E159" s="79" t="n">
        <v>78</v>
      </c>
      <c r="F159" s="79" t="n">
        <v>152</v>
      </c>
      <c r="G159" s="79" t="n">
        <v>75</v>
      </c>
      <c r="H159" s="79" t="n">
        <v>148</v>
      </c>
      <c r="I159" s="80" t="n">
        <v>87</v>
      </c>
      <c r="J159" s="80" t="n">
        <v>171</v>
      </c>
      <c r="K159" s="80" t="n">
        <v>85</v>
      </c>
      <c r="L159" s="80" t="n">
        <v>157</v>
      </c>
      <c r="M159" s="81" t="n">
        <v>89</v>
      </c>
      <c r="N159" s="81" t="n">
        <v>196</v>
      </c>
      <c r="O159" s="81" t="n">
        <v>94</v>
      </c>
      <c r="P159" s="81" t="n">
        <v>188</v>
      </c>
      <c r="Q159" s="82" t="n">
        <v>110</v>
      </c>
      <c r="R159" s="82" t="n">
        <v>225</v>
      </c>
      <c r="S159" s="83" t="n">
        <v>20</v>
      </c>
      <c r="T159" s="78" t="inlineStr">
        <is>
          <t>-</t>
        </is>
      </c>
      <c r="U159" s="78" t="inlineStr">
        <is>
          <t>-</t>
        </is>
      </c>
      <c r="V159" s="123" t="n">
        <v>30.6</v>
      </c>
      <c r="W159" s="123" t="n">
        <v>36.27</v>
      </c>
      <c r="X159" s="123" t="n">
        <v>19.18</v>
      </c>
      <c r="Y159" s="123" t="n">
        <v>2.3</v>
      </c>
      <c r="Z159" s="123" t="n">
        <v>20</v>
      </c>
      <c r="AA159" s="124">
        <f>MIN(V159:Z159)</f>
        <v/>
      </c>
      <c r="AB159" s="125">
        <f>MEDIAN(V159:Z159)</f>
        <v/>
      </c>
      <c r="AC159" s="126">
        <f>MAX(V159:Z159)</f>
        <v/>
      </c>
      <c r="AD159" s="127">
        <f>IFERROR((AC159-AA159)/AB159,"—")</f>
        <v/>
      </c>
      <c r="AE159" s="128">
        <f>AVERAGE(G159,H159)</f>
        <v/>
      </c>
      <c r="AF159" s="129" t="inlineStr">
        <is>
          <t>OK — sources align</t>
        </is>
      </c>
      <c r="AG159" s="130" t="inlineStr">
        <is>
          <t>keyword-matched</t>
        </is>
      </c>
      <c r="AH159" s="127">
        <f>IFERROR((AB159-AE159)/AE159,"—")</f>
        <v/>
      </c>
      <c r="AI159" s="127">
        <f>IFERROR((S159-AE159)/AE159,"—")</f>
        <v/>
      </c>
      <c r="AJ159" s="131">
        <f>IF(AD159&gt;1, "⚠ HIGH SPREAD", IF(ABS(AH159)&gt;0.5, "⚠ DELTA", "OK"))</f>
        <v/>
      </c>
    </row>
    <row r="160" ht="27.75" customHeight="1" s="56">
      <c r="A160" s="78" t="n"/>
      <c r="B160" s="78" t="inlineStr">
        <is>
          <t>H-30-001</t>
        </is>
      </c>
      <c r="C160" s="59" t="inlineStr">
        <is>
          <t>Pad sub-grade prep - cut/fill/compact 95% Proctor</t>
        </is>
      </c>
      <c r="D160" s="78" t="inlineStr">
        <is>
          <t>m2</t>
        </is>
      </c>
      <c r="E160" s="79" t="n">
        <v>17</v>
      </c>
      <c r="F160" s="79" t="n">
        <v>34</v>
      </c>
      <c r="G160" s="79" t="n">
        <v>16</v>
      </c>
      <c r="H160" s="79" t="n">
        <v>33</v>
      </c>
      <c r="I160" s="80" t="n">
        <v>18</v>
      </c>
      <c r="J160" s="80" t="n">
        <v>38</v>
      </c>
      <c r="K160" s="80" t="n">
        <v>18</v>
      </c>
      <c r="L160" s="80" t="n">
        <v>35</v>
      </c>
      <c r="M160" s="81" t="n">
        <v>19</v>
      </c>
      <c r="N160" s="81" t="n">
        <v>43</v>
      </c>
      <c r="O160" s="81" t="n">
        <v>20</v>
      </c>
      <c r="P160" s="81" t="n">
        <v>42</v>
      </c>
      <c r="Q160" s="82" t="n">
        <v>23</v>
      </c>
      <c r="R160" s="82" t="n">
        <v>50</v>
      </c>
      <c r="S160" s="83" t="n">
        <v>85</v>
      </c>
      <c r="T160" s="78" t="inlineStr">
        <is>
          <t>-</t>
        </is>
      </c>
      <c r="U160" s="78" t="inlineStr">
        <is>
          <t>-</t>
        </is>
      </c>
      <c r="V160" s="123" t="n">
        <v>2.65</v>
      </c>
      <c r="W160" s="123" t="n">
        <v>0.77</v>
      </c>
      <c r="X160" s="123" t="n">
        <v>2.52</v>
      </c>
      <c r="Y160" s="123" t="n">
        <v>2.3</v>
      </c>
      <c r="Z160" s="123" t="n">
        <v>20</v>
      </c>
      <c r="AA160" s="124">
        <f>MIN(V160:Z160)</f>
        <v/>
      </c>
      <c r="AB160" s="125">
        <f>MEDIAN(V160:Z160)</f>
        <v/>
      </c>
      <c r="AC160" s="126">
        <f>MAX(V160:Z160)</f>
        <v/>
      </c>
      <c r="AD160" s="127">
        <f>IFERROR((AC160-AA160)/AB160,"—")</f>
        <v/>
      </c>
      <c r="AE160" s="128">
        <f>AVERAGE(G160,H160)</f>
        <v/>
      </c>
      <c r="AF160" s="129" t="inlineStr">
        <is>
          <t>OK — sources align</t>
        </is>
      </c>
      <c r="AG160" s="130" t="inlineStr">
        <is>
          <t>category-fallback</t>
        </is>
      </c>
      <c r="AH160" s="127">
        <f>IFERROR((AB160-AE160)/AE160,"—")</f>
        <v/>
      </c>
      <c r="AI160" s="127">
        <f>IFERROR((S160-AE160)/AE160,"—")</f>
        <v/>
      </c>
      <c r="AJ160" s="131">
        <f>IF(AD160&gt;1, "⚠ HIGH SPREAD", IF(ABS(AH160)&gt;0.5, "⚠ DELTA", "OK"))</f>
        <v/>
      </c>
    </row>
    <row r="161" ht="27.75" customHeight="1" s="56">
      <c r="A161" s="78" t="n"/>
      <c r="B161" s="78" t="inlineStr">
        <is>
          <t>H-30-003</t>
        </is>
      </c>
      <c r="C161" s="59" t="inlineStr">
        <is>
          <t>Primary HDPE liner 80 mil - S+I+CQA</t>
        </is>
      </c>
      <c r="D161" s="78" t="inlineStr">
        <is>
          <t>m2</t>
        </is>
      </c>
      <c r="E161" s="79" t="n">
        <v>29</v>
      </c>
      <c r="F161" s="79" t="n">
        <v>58</v>
      </c>
      <c r="G161" s="79" t="n">
        <v>28</v>
      </c>
      <c r="H161" s="79" t="n">
        <v>56</v>
      </c>
      <c r="I161" s="80" t="n">
        <v>33</v>
      </c>
      <c r="J161" s="80" t="n">
        <v>65</v>
      </c>
      <c r="K161" s="80" t="n">
        <v>32</v>
      </c>
      <c r="L161" s="80" t="n">
        <v>59</v>
      </c>
      <c r="M161" s="81" t="n">
        <v>34</v>
      </c>
      <c r="N161" s="81" t="n">
        <v>74</v>
      </c>
      <c r="O161" s="81" t="n">
        <v>35</v>
      </c>
      <c r="P161" s="81" t="n">
        <v>72</v>
      </c>
      <c r="Q161" s="82" t="n">
        <v>42</v>
      </c>
      <c r="R161" s="82" t="n">
        <v>85</v>
      </c>
      <c r="S161" s="83" t="n">
        <v>15</v>
      </c>
      <c r="T161" s="78" t="inlineStr">
        <is>
          <t>-</t>
        </is>
      </c>
      <c r="U161" s="78" t="inlineStr">
        <is>
          <t>-</t>
        </is>
      </c>
      <c r="V161" s="123" t="n">
        <v>30.6</v>
      </c>
      <c r="W161" s="123" t="n">
        <v>36.27</v>
      </c>
      <c r="X161" s="123" t="n">
        <v>19.18</v>
      </c>
      <c r="Y161" s="123" t="n">
        <v>2.3</v>
      </c>
      <c r="Z161" s="123" t="n">
        <v>20</v>
      </c>
      <c r="AA161" s="124">
        <f>MIN(V161:Z161)</f>
        <v/>
      </c>
      <c r="AB161" s="125">
        <f>MEDIAN(V161:Z161)</f>
        <v/>
      </c>
      <c r="AC161" s="126">
        <f>MAX(V161:Z161)</f>
        <v/>
      </c>
      <c r="AD161" s="127">
        <f>IFERROR((AC161-AA161)/AB161,"—")</f>
        <v/>
      </c>
      <c r="AE161" s="128">
        <f>AVERAGE(G161,H161)</f>
        <v/>
      </c>
      <c r="AF161" s="129" t="inlineStr">
        <is>
          <t>OK — sources align</t>
        </is>
      </c>
      <c r="AG161" s="130" t="inlineStr">
        <is>
          <t>size-matched; category-fallback</t>
        </is>
      </c>
      <c r="AH161" s="127">
        <f>IFERROR((AB161-AE161)/AE161,"—")</f>
        <v/>
      </c>
      <c r="AI161" s="127">
        <f>IFERROR((S161-AE161)/AE161,"—")</f>
        <v/>
      </c>
      <c r="AJ161" s="131">
        <f>IF(AD161&gt;1, "⚠ HIGH SPREAD", IF(ABS(AH161)&gt;0.5, "⚠ DELTA", "OK"))</f>
        <v/>
      </c>
    </row>
    <row r="162" ht="27.75" customHeight="1" s="56">
      <c r="A162" s="78" t="n"/>
      <c r="B162" s="78" t="inlineStr">
        <is>
          <t>H-30-004</t>
        </is>
      </c>
      <c r="C162" s="59" t="inlineStr">
        <is>
          <t>Secondary HDPE liner 60 mil - S+I+CQA</t>
        </is>
      </c>
      <c r="D162" s="78" t="inlineStr">
        <is>
          <t>m2</t>
        </is>
      </c>
      <c r="E162" s="79" t="n">
        <v>22</v>
      </c>
      <c r="F162" s="79" t="n">
        <v>44</v>
      </c>
      <c r="G162" s="79" t="n">
        <v>21</v>
      </c>
      <c r="H162" s="79" t="n">
        <v>43</v>
      </c>
      <c r="I162" s="80" t="n">
        <v>24</v>
      </c>
      <c r="J162" s="80" t="n">
        <v>50</v>
      </c>
      <c r="K162" s="80" t="n">
        <v>24</v>
      </c>
      <c r="L162" s="80" t="n">
        <v>45</v>
      </c>
      <c r="M162" s="81" t="n">
        <v>25</v>
      </c>
      <c r="N162" s="81" t="n">
        <v>57</v>
      </c>
      <c r="O162" s="81" t="n">
        <v>26</v>
      </c>
      <c r="P162" s="81" t="n">
        <v>55</v>
      </c>
      <c r="Q162" s="82" t="n">
        <v>31</v>
      </c>
      <c r="R162" s="82" t="n">
        <v>65</v>
      </c>
      <c r="S162" s="83" t="n">
        <v>14.3</v>
      </c>
      <c r="T162" s="78" t="inlineStr">
        <is>
          <t>-</t>
        </is>
      </c>
      <c r="U162" s="78" t="inlineStr">
        <is>
          <t>-</t>
        </is>
      </c>
      <c r="V162" s="123" t="n">
        <v>30.6</v>
      </c>
      <c r="W162" s="123" t="n">
        <v>20.13</v>
      </c>
      <c r="X162" s="123" t="n">
        <v>19.18</v>
      </c>
      <c r="Y162" s="123" t="n">
        <v>1.4</v>
      </c>
      <c r="Z162" s="123" t="n">
        <v>20</v>
      </c>
      <c r="AA162" s="124">
        <f>MIN(V162:Z162)</f>
        <v/>
      </c>
      <c r="AB162" s="125">
        <f>MEDIAN(V162:Z162)</f>
        <v/>
      </c>
      <c r="AC162" s="126">
        <f>MAX(V162:Z162)</f>
        <v/>
      </c>
      <c r="AD162" s="127">
        <f>IFERROR((AC162-AA162)/AB162,"—")</f>
        <v/>
      </c>
      <c r="AE162" s="128">
        <f>AVERAGE(G162,H162)</f>
        <v/>
      </c>
      <c r="AF162" s="129" t="inlineStr">
        <is>
          <t>OK — sources align</t>
        </is>
      </c>
      <c r="AG162" s="130" t="inlineStr">
        <is>
          <t>size-matched; category-fallback</t>
        </is>
      </c>
      <c r="AH162" s="127">
        <f>IFERROR((AB162-AE162)/AE162,"—")</f>
        <v/>
      </c>
      <c r="AI162" s="127">
        <f>IFERROR((S162-AE162)/AE162,"—")</f>
        <v/>
      </c>
      <c r="AJ162" s="131">
        <f>IF(AD162&gt;1, "⚠ HIGH SPREAD", IF(ABS(AH162)&gt;0.5, "⚠ DELTA", "OK"))</f>
        <v/>
      </c>
    </row>
    <row r="163" ht="27.75" customHeight="1" s="56">
      <c r="A163" s="78" t="n"/>
      <c r="B163" s="78" t="inlineStr">
        <is>
          <t>H-30-009</t>
        </is>
      </c>
      <c r="C163" s="59" t="inlineStr">
        <is>
          <t>Solution piping HDPE 200mm - S+I</t>
        </is>
      </c>
      <c r="D163" s="78" t="inlineStr">
        <is>
          <t>m</t>
        </is>
      </c>
      <c r="E163" s="79" t="n">
        <v>271</v>
      </c>
      <c r="F163" s="79" t="n">
        <v>467</v>
      </c>
      <c r="G163" s="79" t="n">
        <v>260</v>
      </c>
      <c r="H163" s="79" t="n">
        <v>454</v>
      </c>
      <c r="I163" s="80" t="n">
        <v>301</v>
      </c>
      <c r="J163" s="80" t="n">
        <v>525</v>
      </c>
      <c r="K163" s="80" t="n">
        <v>295</v>
      </c>
      <c r="L163" s="80" t="n">
        <v>481</v>
      </c>
      <c r="M163" s="81" t="n">
        <v>310</v>
      </c>
      <c r="N163" s="81" t="n">
        <v>601</v>
      </c>
      <c r="O163" s="81" t="n">
        <v>324</v>
      </c>
      <c r="P163" s="81" t="n">
        <v>578</v>
      </c>
      <c r="Q163" s="82" t="n">
        <v>384</v>
      </c>
      <c r="R163" s="82" t="n">
        <v>690</v>
      </c>
      <c r="S163" s="83" t="n">
        <v>1396.8</v>
      </c>
      <c r="T163" s="78" t="inlineStr">
        <is>
          <t>-</t>
        </is>
      </c>
      <c r="U163" s="78" t="inlineStr">
        <is>
          <t>-</t>
        </is>
      </c>
      <c r="V163" s="123" t="n">
        <v>1205</v>
      </c>
      <c r="W163" s="123" t="n">
        <v>2539.78</v>
      </c>
      <c r="X163" s="123" t="n">
        <v>719.1799999999999</v>
      </c>
      <c r="Y163" s="123" t="n">
        <v>369.63</v>
      </c>
      <c r="Z163" s="123" t="n">
        <v>1500</v>
      </c>
      <c r="AA163" s="124">
        <f>MIN(V163:Z163)</f>
        <v/>
      </c>
      <c r="AB163" s="125">
        <f>MEDIAN(V163:Z163)</f>
        <v/>
      </c>
      <c r="AC163" s="126">
        <f>MAX(V163:Z163)</f>
        <v/>
      </c>
      <c r="AD163" s="127">
        <f>IFERROR((AC163-AA163)/AB163,"—")</f>
        <v/>
      </c>
      <c r="AE163" s="128">
        <f>AVERAGE(G163,H163)</f>
        <v/>
      </c>
      <c r="AF163" s="129" t="inlineStr">
        <is>
          <t>OK — sources align</t>
        </is>
      </c>
      <c r="AG163" s="130" t="inlineStr">
        <is>
          <t>keyword-matched</t>
        </is>
      </c>
      <c r="AH163" s="127">
        <f>IFERROR((AB163-AE163)/AE163,"—")</f>
        <v/>
      </c>
      <c r="AI163" s="127">
        <f>IFERROR((S163-AE163)/AE163,"—")</f>
        <v/>
      </c>
      <c r="AJ163" s="131">
        <f>IF(AD163&gt;1, "⚠ HIGH SPREAD", IF(ABS(AH163)&gt;0.5, "⚠ DELTA", "OK"))</f>
        <v/>
      </c>
    </row>
    <row r="164" ht="19.5" customHeight="1" s="56">
      <c r="A164" s="77" t="inlineStr">
        <is>
          <t>U. Process Plant</t>
        </is>
      </c>
    </row>
    <row r="165" ht="27.75" customHeight="1" s="56">
      <c r="A165" s="78" t="n"/>
      <c r="B165" s="78" t="inlineStr">
        <is>
          <t>P-40-005</t>
        </is>
      </c>
      <c r="C165" s="59" t="inlineStr">
        <is>
          <t>Conveyor gallery footings</t>
        </is>
      </c>
      <c r="D165" s="78" t="inlineStr">
        <is>
          <t>ea</t>
        </is>
      </c>
      <c r="E165" s="79" t="n">
        <v>11040</v>
      </c>
      <c r="F165" s="79" t="n">
        <v>23100</v>
      </c>
      <c r="G165" s="79" t="n">
        <v>10560</v>
      </c>
      <c r="H165" s="79" t="n">
        <v>22440</v>
      </c>
      <c r="I165" s="80" t="n">
        <v>12240</v>
      </c>
      <c r="J165" s="80" t="n">
        <v>25960</v>
      </c>
      <c r="K165" s="80" t="n">
        <v>12000</v>
      </c>
      <c r="L165" s="80" t="n">
        <v>23760</v>
      </c>
      <c r="M165" s="81" t="n">
        <v>12600</v>
      </c>
      <c r="N165" s="81" t="n">
        <v>29700</v>
      </c>
      <c r="O165" s="81" t="n">
        <v>13200</v>
      </c>
      <c r="P165" s="81" t="n">
        <v>28600</v>
      </c>
      <c r="Q165" s="82" t="n">
        <v>15600</v>
      </c>
      <c r="R165" s="82" t="n">
        <v>34100</v>
      </c>
      <c r="S165" s="78" t="inlineStr">
        <is>
          <t>-</t>
        </is>
      </c>
      <c r="T165" s="78" t="inlineStr">
        <is>
          <t>-</t>
        </is>
      </c>
      <c r="U165" s="78" t="inlineStr">
        <is>
          <t>-</t>
        </is>
      </c>
      <c r="V165" s="132" t="inlineStr">
        <is>
          <t>—</t>
        </is>
      </c>
      <c r="W165" s="132" t="inlineStr">
        <is>
          <t>—</t>
        </is>
      </c>
      <c r="X165" s="132" t="inlineStr">
        <is>
          <t>—</t>
        </is>
      </c>
      <c r="Y165" s="133" t="inlineStr">
        <is>
          <t>—</t>
        </is>
      </c>
      <c r="Z165" s="132" t="inlineStr">
        <is>
          <t>—</t>
        </is>
      </c>
      <c r="AA165" s="134" t="inlineStr">
        <is>
          <t>—</t>
        </is>
      </c>
      <c r="AB165" s="134" t="inlineStr">
        <is>
          <t>—</t>
        </is>
      </c>
      <c r="AC165" s="132" t="inlineStr">
        <is>
          <t>—</t>
        </is>
      </c>
      <c r="AD165" s="132" t="inlineStr">
        <is>
          <t>—</t>
        </is>
      </c>
      <c r="AE165" s="128">
        <f>AVERAGE(G165,H165)</f>
        <v/>
      </c>
      <c r="AF165" s="129" t="inlineStr">
        <is>
          <t>No bidder data; SME only</t>
        </is>
      </c>
      <c r="AG165" s="130" t="inlineStr">
        <is>
          <t>no match</t>
        </is>
      </c>
      <c r="AH165" s="127">
        <f>IFERROR((AB165-AE165)/AE165,"—")</f>
        <v/>
      </c>
      <c r="AI165" s="127">
        <f>IFERROR((S165-AE165)/AE165,"—")</f>
        <v/>
      </c>
      <c r="AJ165" s="131" t="inlineStr">
        <is>
          <t>—</t>
        </is>
      </c>
    </row>
    <row r="166" ht="27.75" customHeight="1" s="56">
      <c r="A166" s="78" t="n"/>
      <c r="B166" s="78" t="inlineStr">
        <is>
          <t>P-40-006</t>
        </is>
      </c>
      <c r="C166" s="59" t="inlineStr">
        <is>
          <t>Conveyor head pulley structure</t>
        </is>
      </c>
      <c r="D166" s="78" t="inlineStr">
        <is>
          <t>ea</t>
        </is>
      </c>
      <c r="E166" s="79" t="n">
        <v>41400</v>
      </c>
      <c r="F166" s="79" t="n">
        <v>99750</v>
      </c>
      <c r="G166" s="79" t="n">
        <v>39600</v>
      </c>
      <c r="H166" s="79" t="n">
        <v>96900</v>
      </c>
      <c r="I166" s="80" t="n">
        <v>45900</v>
      </c>
      <c r="J166" s="80" t="n">
        <v>112100</v>
      </c>
      <c r="K166" s="80" t="n">
        <v>45000</v>
      </c>
      <c r="L166" s="80" t="n">
        <v>102600</v>
      </c>
      <c r="M166" s="81" t="n">
        <v>47250</v>
      </c>
      <c r="N166" s="81" t="n">
        <v>128250</v>
      </c>
      <c r="O166" s="81" t="n">
        <v>49500</v>
      </c>
      <c r="P166" s="81" t="n">
        <v>123500</v>
      </c>
      <c r="Q166" s="82" t="n">
        <v>58500</v>
      </c>
      <c r="R166" s="82" t="n">
        <v>147250</v>
      </c>
      <c r="S166" s="78" t="inlineStr">
        <is>
          <t>-</t>
        </is>
      </c>
      <c r="T166" s="78" t="inlineStr">
        <is>
          <t>-</t>
        </is>
      </c>
      <c r="U166" s="78" t="inlineStr">
        <is>
          <t>-</t>
        </is>
      </c>
      <c r="V166" s="123" t="n">
        <v>13500</v>
      </c>
      <c r="W166" s="123" t="n">
        <v>13822.43</v>
      </c>
      <c r="X166" s="123" t="n">
        <v>6201.82</v>
      </c>
      <c r="Y166" s="133" t="inlineStr">
        <is>
          <t>—</t>
        </is>
      </c>
      <c r="Z166" s="123" t="n">
        <v>30000</v>
      </c>
      <c r="AA166" s="124">
        <f>MIN(V166:Z166)</f>
        <v/>
      </c>
      <c r="AB166" s="125">
        <f>MEDIAN(V166:Z166)</f>
        <v/>
      </c>
      <c r="AC166" s="126">
        <f>MAX(V166:Z166)</f>
        <v/>
      </c>
      <c r="AD166" s="127">
        <f>IFERROR((AC166-AA166)/AB166,"—")</f>
        <v/>
      </c>
      <c r="AE166" s="128">
        <f>AVERAGE(G166,H166)</f>
        <v/>
      </c>
      <c r="AF166" s="129" t="inlineStr">
        <is>
          <t>OK — sources align</t>
        </is>
      </c>
      <c r="AG166" s="130" t="inlineStr">
        <is>
          <t>category-fallback</t>
        </is>
      </c>
      <c r="AH166" s="127">
        <f>IFERROR((AB166-AE166)/AE166,"—")</f>
        <v/>
      </c>
      <c r="AI166" s="127">
        <f>IFERROR((S166-AE166)/AE166,"—")</f>
        <v/>
      </c>
      <c r="AJ166" s="131">
        <f>IF(AD166&gt;1, "⚠ HIGH SPREAD", IF(ABS(AH166)&gt;0.5, "⚠ DELTA", "OK"))</f>
        <v/>
      </c>
    </row>
    <row r="167" ht="27.75" customHeight="1" s="56">
      <c r="A167" s="78" t="n"/>
      <c r="B167" s="78" t="inlineStr">
        <is>
          <t>P-40-009</t>
        </is>
      </c>
      <c r="C167" s="59" t="inlineStr">
        <is>
          <t>Flotation cell foundation</t>
        </is>
      </c>
      <c r="D167" s="78" t="inlineStr">
        <is>
          <t>m2</t>
        </is>
      </c>
      <c r="E167" s="79" t="n">
        <v>262</v>
      </c>
      <c r="F167" s="79" t="n">
        <v>472</v>
      </c>
      <c r="G167" s="79" t="n">
        <v>251</v>
      </c>
      <c r="H167" s="79" t="n">
        <v>459</v>
      </c>
      <c r="I167" s="80" t="n">
        <v>291</v>
      </c>
      <c r="J167" s="80" t="n">
        <v>531</v>
      </c>
      <c r="K167" s="80" t="n">
        <v>285</v>
      </c>
      <c r="L167" s="80" t="n">
        <v>486</v>
      </c>
      <c r="M167" s="81" t="n">
        <v>299</v>
      </c>
      <c r="N167" s="81" t="n">
        <v>608</v>
      </c>
      <c r="O167" s="81" t="n">
        <v>314</v>
      </c>
      <c r="P167" s="81" t="n">
        <v>585</v>
      </c>
      <c r="Q167" s="82" t="n">
        <v>370</v>
      </c>
      <c r="R167" s="82" t="n">
        <v>698</v>
      </c>
      <c r="S167" s="78" t="inlineStr">
        <is>
          <t>-</t>
        </is>
      </c>
      <c r="T167" s="78" t="inlineStr">
        <is>
          <t>-</t>
        </is>
      </c>
      <c r="U167" s="78" t="inlineStr">
        <is>
          <t>-</t>
        </is>
      </c>
      <c r="V167" s="123" t="n">
        <v>2.65</v>
      </c>
      <c r="W167" s="123" t="n">
        <v>0.77</v>
      </c>
      <c r="X167" s="123" t="n">
        <v>2.52</v>
      </c>
      <c r="Y167" s="123" t="n">
        <v>2.3</v>
      </c>
      <c r="Z167" s="123" t="n">
        <v>20</v>
      </c>
      <c r="AA167" s="124">
        <f>MIN(V167:Z167)</f>
        <v/>
      </c>
      <c r="AB167" s="125">
        <f>MEDIAN(V167:Z167)</f>
        <v/>
      </c>
      <c r="AC167" s="126">
        <f>MAX(V167:Z167)</f>
        <v/>
      </c>
      <c r="AD167" s="127">
        <f>IFERROR((AC167-AA167)/AB167,"—")</f>
        <v/>
      </c>
      <c r="AE167" s="128">
        <f>AVERAGE(G167,H167)</f>
        <v/>
      </c>
      <c r="AF167" s="129" t="inlineStr">
        <is>
          <t>OK — sources align</t>
        </is>
      </c>
      <c r="AG167" s="130" t="inlineStr">
        <is>
          <t>category-fallback</t>
        </is>
      </c>
      <c r="AH167" s="127">
        <f>IFERROR((AB167-AE167)/AE167,"—")</f>
        <v/>
      </c>
      <c r="AI167" s="127">
        <f>IFERROR((S167-AE167)/AE167,"—")</f>
        <v/>
      </c>
      <c r="AJ167" s="131">
        <f>IF(AD167&gt;1, "⚠ HIGH SPREAD", IF(ABS(AH167)&gt;0.5, "⚠ DELTA", "OK"))</f>
        <v/>
      </c>
    </row>
    <row r="168" ht="27.75" customHeight="1" s="56">
      <c r="A168" s="78" t="n"/>
      <c r="B168" s="78" t="inlineStr">
        <is>
          <t>P-40-002</t>
        </is>
      </c>
      <c r="C168" s="59" t="inlineStr">
        <is>
          <t>Mill foundation - ball mill</t>
        </is>
      </c>
      <c r="D168" s="78" t="inlineStr">
        <is>
          <t>m3</t>
        </is>
      </c>
      <c r="E168" s="79" t="n">
        <v>2438</v>
      </c>
      <c r="F168" s="79" t="n">
        <v>3675</v>
      </c>
      <c r="G168" s="79" t="n">
        <v>2332</v>
      </c>
      <c r="H168" s="79" t="n">
        <v>3570</v>
      </c>
      <c r="I168" s="80" t="n">
        <v>2703</v>
      </c>
      <c r="J168" s="80" t="n">
        <v>4130</v>
      </c>
      <c r="K168" s="80" t="n">
        <v>2650</v>
      </c>
      <c r="L168" s="80" t="n">
        <v>3780</v>
      </c>
      <c r="M168" s="81" t="n">
        <v>2782</v>
      </c>
      <c r="N168" s="81" t="n">
        <v>4725</v>
      </c>
      <c r="O168" s="81" t="n">
        <v>2915</v>
      </c>
      <c r="P168" s="81" t="n">
        <v>4550</v>
      </c>
      <c r="Q168" s="82" t="n">
        <v>3445</v>
      </c>
      <c r="R168" s="82" t="n">
        <v>5425</v>
      </c>
      <c r="S168" s="83" t="n">
        <v>5330591.68899477</v>
      </c>
      <c r="T168" s="78" t="inlineStr">
        <is>
          <t>-</t>
        </is>
      </c>
      <c r="U168" s="78" t="inlineStr">
        <is>
          <t>-</t>
        </is>
      </c>
      <c r="V168" s="123" t="n">
        <v>11.3</v>
      </c>
      <c r="W168" s="123" t="n">
        <v>17.2</v>
      </c>
      <c r="X168" s="123" t="n">
        <v>8.789999999999999</v>
      </c>
      <c r="Y168" s="123" t="n">
        <v>11.31</v>
      </c>
      <c r="Z168" s="123" t="n">
        <v>4.25</v>
      </c>
      <c r="AA168" s="124">
        <f>MIN(V168:Z168)</f>
        <v/>
      </c>
      <c r="AB168" s="125">
        <f>MEDIAN(V168:Z168)</f>
        <v/>
      </c>
      <c r="AC168" s="126">
        <f>MAX(V168:Z168)</f>
        <v/>
      </c>
      <c r="AD168" s="127">
        <f>IFERROR((AC168-AA168)/AB168,"—")</f>
        <v/>
      </c>
      <c r="AE168" s="128">
        <f>AVERAGE(G168,H168)</f>
        <v/>
      </c>
      <c r="AF168" s="129" t="inlineStr">
        <is>
          <t>OK — sources align</t>
        </is>
      </c>
      <c r="AG168" s="130" t="inlineStr">
        <is>
          <t>category-fallback</t>
        </is>
      </c>
      <c r="AH168" s="127">
        <f>IFERROR((AB168-AE168)/AE168,"—")</f>
        <v/>
      </c>
      <c r="AI168" s="127">
        <f>IFERROR((S168-AE168)/AE168,"—")</f>
        <v/>
      </c>
      <c r="AJ168" s="131">
        <f>IF(AD168&gt;1, "⚠ HIGH SPREAD", IF(ABS(AH168)&gt;0.5, "⚠ DELTA", "OK"))</f>
        <v/>
      </c>
    </row>
    <row r="169" ht="27.75" customHeight="1" s="56">
      <c r="A169" s="78" t="n"/>
      <c r="B169" s="78" t="inlineStr">
        <is>
          <t>P-40-001</t>
        </is>
      </c>
      <c r="C169" s="59" t="inlineStr">
        <is>
          <t>Mill foundation - large mat (SAG)</t>
        </is>
      </c>
      <c r="D169" s="78" t="inlineStr">
        <is>
          <t>m3</t>
        </is>
      </c>
      <c r="E169" s="79" t="n">
        <v>2576</v>
      </c>
      <c r="F169" s="79" t="n">
        <v>3990</v>
      </c>
      <c r="G169" s="79" t="n">
        <v>2464</v>
      </c>
      <c r="H169" s="79" t="n">
        <v>3876</v>
      </c>
      <c r="I169" s="80" t="n">
        <v>2856</v>
      </c>
      <c r="J169" s="80" t="n">
        <v>4484</v>
      </c>
      <c r="K169" s="80" t="n">
        <v>2800</v>
      </c>
      <c r="L169" s="80" t="n">
        <v>4104</v>
      </c>
      <c r="M169" s="81" t="n">
        <v>2940</v>
      </c>
      <c r="N169" s="81" t="n">
        <v>5130</v>
      </c>
      <c r="O169" s="81" t="n">
        <v>3080</v>
      </c>
      <c r="P169" s="81" t="n">
        <v>4940</v>
      </c>
      <c r="Q169" s="82" t="n">
        <v>3640</v>
      </c>
      <c r="R169" s="82" t="n">
        <v>5890</v>
      </c>
      <c r="S169" s="78" t="inlineStr">
        <is>
          <t>-</t>
        </is>
      </c>
      <c r="T169" s="78" t="inlineStr">
        <is>
          <t>-</t>
        </is>
      </c>
      <c r="U169" s="78" t="inlineStr">
        <is>
          <t>-</t>
        </is>
      </c>
      <c r="V169" s="123" t="n">
        <v>11.3</v>
      </c>
      <c r="W169" s="123" t="n">
        <v>17.2</v>
      </c>
      <c r="X169" s="123" t="n">
        <v>8.789999999999999</v>
      </c>
      <c r="Y169" s="123" t="n">
        <v>11.31</v>
      </c>
      <c r="Z169" s="123" t="n">
        <v>4.25</v>
      </c>
      <c r="AA169" s="124">
        <f>MIN(V169:Z169)</f>
        <v/>
      </c>
      <c r="AB169" s="125">
        <f>MEDIAN(V169:Z169)</f>
        <v/>
      </c>
      <c r="AC169" s="126">
        <f>MAX(V169:Z169)</f>
        <v/>
      </c>
      <c r="AD169" s="127">
        <f>IFERROR((AC169-AA169)/AB169,"—")</f>
        <v/>
      </c>
      <c r="AE169" s="128">
        <f>AVERAGE(G169,H169)</f>
        <v/>
      </c>
      <c r="AF169" s="129" t="inlineStr">
        <is>
          <t>OK — sources align</t>
        </is>
      </c>
      <c r="AG169" s="130" t="inlineStr">
        <is>
          <t>category-fallback</t>
        </is>
      </c>
      <c r="AH169" s="127">
        <f>IFERROR((AB169-AE169)/AE169,"—")</f>
        <v/>
      </c>
      <c r="AI169" s="127">
        <f>IFERROR((S169-AE169)/AE169,"—")</f>
        <v/>
      </c>
      <c r="AJ169" s="131">
        <f>IF(AD169&gt;1, "⚠ HIGH SPREAD", IF(ABS(AH169)&gt;0.5, "⚠ DELTA", "OK"))</f>
        <v/>
      </c>
    </row>
    <row r="170" ht="27.75" customHeight="1" s="56">
      <c r="A170" s="78" t="n"/>
      <c r="B170" s="78" t="inlineStr">
        <is>
          <t>P-40-007</t>
        </is>
      </c>
      <c r="C170" s="59" t="inlineStr">
        <is>
          <t>Ore stockpile reclaim tunnel</t>
        </is>
      </c>
      <c r="D170" s="78" t="inlineStr">
        <is>
          <t>m</t>
        </is>
      </c>
      <c r="E170" s="79" t="n">
        <v>16560</v>
      </c>
      <c r="F170" s="79" t="n">
        <v>33600</v>
      </c>
      <c r="G170" s="79" t="n">
        <v>15840</v>
      </c>
      <c r="H170" s="79" t="n">
        <v>32640</v>
      </c>
      <c r="I170" s="80" t="n">
        <v>18360</v>
      </c>
      <c r="J170" s="80" t="n">
        <v>37760</v>
      </c>
      <c r="K170" s="80" t="n">
        <v>18000</v>
      </c>
      <c r="L170" s="80" t="n">
        <v>34560</v>
      </c>
      <c r="M170" s="81" t="n">
        <v>18900</v>
      </c>
      <c r="N170" s="81" t="n">
        <v>43200</v>
      </c>
      <c r="O170" s="81" t="n">
        <v>19800</v>
      </c>
      <c r="P170" s="81" t="n">
        <v>41600</v>
      </c>
      <c r="Q170" s="82" t="n">
        <v>23400</v>
      </c>
      <c r="R170" s="82" t="n">
        <v>49600</v>
      </c>
      <c r="S170" s="83" t="n">
        <v>3800000</v>
      </c>
      <c r="T170" s="78" t="inlineStr">
        <is>
          <t>-</t>
        </is>
      </c>
      <c r="U170" s="78" t="inlineStr">
        <is>
          <t>-</t>
        </is>
      </c>
      <c r="V170" s="123" t="n">
        <v>415</v>
      </c>
      <c r="W170" s="123" t="n">
        <v>85.97</v>
      </c>
      <c r="X170" s="123" t="n">
        <v>1193.04</v>
      </c>
      <c r="Y170" s="133" t="inlineStr">
        <is>
          <t>—</t>
        </is>
      </c>
      <c r="Z170" s="123" t="n">
        <v>450</v>
      </c>
      <c r="AA170" s="124">
        <f>MIN(V170:Z170)</f>
        <v/>
      </c>
      <c r="AB170" s="125">
        <f>MEDIAN(V170:Z170)</f>
        <v/>
      </c>
      <c r="AC170" s="126">
        <f>MAX(V170:Z170)</f>
        <v/>
      </c>
      <c r="AD170" s="127">
        <f>IFERROR((AC170-AA170)/AB170,"—")</f>
        <v/>
      </c>
      <c r="AE170" s="128">
        <f>AVERAGE(G170,H170)</f>
        <v/>
      </c>
      <c r="AF170" s="129" t="inlineStr">
        <is>
          <t>OK — sources align</t>
        </is>
      </c>
      <c r="AG170" s="130" t="inlineStr">
        <is>
          <t>category-fallback</t>
        </is>
      </c>
      <c r="AH170" s="127">
        <f>IFERROR((AB170-AE170)/AE170,"—")</f>
        <v/>
      </c>
      <c r="AI170" s="127">
        <f>IFERROR((S170-AE170)/AE170,"—")</f>
        <v/>
      </c>
      <c r="AJ170" s="131">
        <f>IF(AD170&gt;1, "⚠ HIGH SPREAD", IF(ABS(AH170)&gt;0.5, "⚠ DELTA", "OK"))</f>
        <v/>
      </c>
    </row>
    <row r="171" ht="27.75" customHeight="1" s="56">
      <c r="A171" s="78" t="n"/>
      <c r="B171" s="78" t="inlineStr">
        <is>
          <t>P-40-003</t>
        </is>
      </c>
      <c r="C171" s="59" t="inlineStr">
        <is>
          <t>Primary crusher foundation - pier+mat</t>
        </is>
      </c>
      <c r="D171" s="78" t="inlineStr">
        <is>
          <t>m3</t>
        </is>
      </c>
      <c r="E171" s="79" t="n">
        <v>2944</v>
      </c>
      <c r="F171" s="79" t="n">
        <v>4725</v>
      </c>
      <c r="G171" s="79" t="n">
        <v>2816</v>
      </c>
      <c r="H171" s="79" t="n">
        <v>4590</v>
      </c>
      <c r="I171" s="80" t="n">
        <v>3264</v>
      </c>
      <c r="J171" s="80" t="n">
        <v>5310</v>
      </c>
      <c r="K171" s="80" t="n">
        <v>3200</v>
      </c>
      <c r="L171" s="80" t="n">
        <v>4860</v>
      </c>
      <c r="M171" s="81" t="n">
        <v>3360</v>
      </c>
      <c r="N171" s="81" t="n">
        <v>6075</v>
      </c>
      <c r="O171" s="81" t="n">
        <v>3520</v>
      </c>
      <c r="P171" s="81" t="n">
        <v>5850</v>
      </c>
      <c r="Q171" s="82" t="n">
        <v>4160</v>
      </c>
      <c r="R171" s="82" t="n">
        <v>6975</v>
      </c>
      <c r="S171" s="83" t="n">
        <v>7500000</v>
      </c>
      <c r="T171" s="78" t="inlineStr">
        <is>
          <t>-</t>
        </is>
      </c>
      <c r="U171" s="78" t="inlineStr">
        <is>
          <t>-</t>
        </is>
      </c>
      <c r="V171" s="123" t="n">
        <v>30.15</v>
      </c>
      <c r="W171" s="123" t="n">
        <v>4854.87</v>
      </c>
      <c r="X171" s="123" t="n">
        <v>10.25</v>
      </c>
      <c r="Y171" s="123" t="n">
        <v>10.7</v>
      </c>
      <c r="Z171" s="123" t="n">
        <v>20</v>
      </c>
      <c r="AA171" s="124">
        <f>MIN(V171:Z171)</f>
        <v/>
      </c>
      <c r="AB171" s="125">
        <f>MEDIAN(V171:Z171)</f>
        <v/>
      </c>
      <c r="AC171" s="126">
        <f>MAX(V171:Z171)</f>
        <v/>
      </c>
      <c r="AD171" s="127">
        <f>IFERROR((AC171-AA171)/AB171,"—")</f>
        <v/>
      </c>
      <c r="AE171" s="128">
        <f>AVERAGE(G171,H171)</f>
        <v/>
      </c>
      <c r="AF171" s="129" t="inlineStr">
        <is>
          <t>OK — sources align</t>
        </is>
      </c>
      <c r="AG171" s="130" t="inlineStr">
        <is>
          <t>category-fallback</t>
        </is>
      </c>
      <c r="AH171" s="127">
        <f>IFERROR((AB171-AE171)/AE171,"—")</f>
        <v/>
      </c>
      <c r="AI171" s="127">
        <f>IFERROR((S171-AE171)/AE171,"—")</f>
        <v/>
      </c>
      <c r="AJ171" s="131">
        <f>IF(AD171&gt;1, "⚠ HIGH SPREAD", IF(ABS(AH171)&gt;0.5, "⚠ DELTA", "OK"))</f>
        <v/>
      </c>
    </row>
    <row r="172" ht="27.75" customHeight="1" s="56">
      <c r="A172" s="78" t="n"/>
      <c r="B172" s="78" t="inlineStr">
        <is>
          <t>P-40-011</t>
        </is>
      </c>
      <c r="C172" s="59" t="inlineStr">
        <is>
          <t>Process building slab on grade 250mm</t>
        </is>
      </c>
      <c r="D172" s="78" t="inlineStr">
        <is>
          <t>m2</t>
        </is>
      </c>
      <c r="E172" s="79" t="n">
        <v>179</v>
      </c>
      <c r="F172" s="79" t="n">
        <v>299</v>
      </c>
      <c r="G172" s="79" t="n">
        <v>172</v>
      </c>
      <c r="H172" s="79" t="n">
        <v>291</v>
      </c>
      <c r="I172" s="80" t="n">
        <v>199</v>
      </c>
      <c r="J172" s="80" t="n">
        <v>336</v>
      </c>
      <c r="K172" s="80" t="n">
        <v>195</v>
      </c>
      <c r="L172" s="80" t="n">
        <v>308</v>
      </c>
      <c r="M172" s="81" t="n">
        <v>205</v>
      </c>
      <c r="N172" s="81" t="n">
        <v>385</v>
      </c>
      <c r="O172" s="81" t="n">
        <v>215</v>
      </c>
      <c r="P172" s="81" t="n">
        <v>370</v>
      </c>
      <c r="Q172" s="82" t="n">
        <v>254</v>
      </c>
      <c r="R172" s="82" t="n">
        <v>442</v>
      </c>
      <c r="S172" s="83" t="n">
        <v>947.078439474456</v>
      </c>
      <c r="T172" s="78" t="inlineStr">
        <is>
          <t>-</t>
        </is>
      </c>
      <c r="U172" s="78" t="inlineStr">
        <is>
          <t>-</t>
        </is>
      </c>
      <c r="V172" s="132" t="inlineStr">
        <is>
          <t>—</t>
        </is>
      </c>
      <c r="W172" s="132" t="inlineStr">
        <is>
          <t>—</t>
        </is>
      </c>
      <c r="X172" s="132" t="inlineStr">
        <is>
          <t>—</t>
        </is>
      </c>
      <c r="Y172" s="133" t="inlineStr">
        <is>
          <t>—</t>
        </is>
      </c>
      <c r="Z172" s="132" t="inlineStr">
        <is>
          <t>—</t>
        </is>
      </c>
      <c r="AA172" s="134" t="inlineStr">
        <is>
          <t>—</t>
        </is>
      </c>
      <c r="AB172" s="134" t="inlineStr">
        <is>
          <t>—</t>
        </is>
      </c>
      <c r="AC172" s="132" t="inlineStr">
        <is>
          <t>—</t>
        </is>
      </c>
      <c r="AD172" s="132" t="inlineStr">
        <is>
          <t>—</t>
        </is>
      </c>
      <c r="AE172" s="128">
        <f>AVERAGE(G172,H172)</f>
        <v/>
      </c>
      <c r="AF172" s="129" t="inlineStr">
        <is>
          <t>No bidder data; SME only</t>
        </is>
      </c>
      <c r="AG172" s="130" t="inlineStr">
        <is>
          <t>no match</t>
        </is>
      </c>
      <c r="AH172" s="127">
        <f>IFERROR((AB172-AE172)/AE172,"—")</f>
        <v/>
      </c>
      <c r="AI172" s="127">
        <f>IFERROR((S172-AE172)/AE172,"—")</f>
        <v/>
      </c>
      <c r="AJ172" s="131" t="inlineStr">
        <is>
          <t>—</t>
        </is>
      </c>
    </row>
    <row r="173" ht="27.75" customHeight="1" s="56">
      <c r="A173" s="78" t="n"/>
      <c r="B173" s="78" t="inlineStr">
        <is>
          <t>P-40-004</t>
        </is>
      </c>
      <c r="C173" s="59" t="inlineStr">
        <is>
          <t>SAG mill apron feeder pit</t>
        </is>
      </c>
      <c r="D173" s="78" t="inlineStr">
        <is>
          <t>m3</t>
        </is>
      </c>
      <c r="E173" s="79" t="n">
        <v>2760</v>
      </c>
      <c r="F173" s="79" t="n">
        <v>4410</v>
      </c>
      <c r="G173" s="79" t="n">
        <v>2640</v>
      </c>
      <c r="H173" s="79" t="n">
        <v>4284</v>
      </c>
      <c r="I173" s="80" t="n">
        <v>3060</v>
      </c>
      <c r="J173" s="80" t="n">
        <v>4956</v>
      </c>
      <c r="K173" s="80" t="n">
        <v>3000</v>
      </c>
      <c r="L173" s="80" t="n">
        <v>4536</v>
      </c>
      <c r="M173" s="81" t="n">
        <v>3150</v>
      </c>
      <c r="N173" s="81" t="n">
        <v>5670</v>
      </c>
      <c r="O173" s="81" t="n">
        <v>3300</v>
      </c>
      <c r="P173" s="81" t="n">
        <v>5460</v>
      </c>
      <c r="Q173" s="82" t="n">
        <v>3900</v>
      </c>
      <c r="R173" s="82" t="n">
        <v>6510</v>
      </c>
      <c r="S173" s="78" t="inlineStr">
        <is>
          <t>-</t>
        </is>
      </c>
      <c r="T173" s="78" t="inlineStr">
        <is>
          <t>-</t>
        </is>
      </c>
      <c r="U173" s="78" t="inlineStr">
        <is>
          <t>-</t>
        </is>
      </c>
      <c r="V173" s="123" t="n">
        <v>2.8</v>
      </c>
      <c r="W173" s="123" t="n">
        <v>10.01</v>
      </c>
      <c r="X173" s="123" t="n">
        <v>8.789999999999999</v>
      </c>
      <c r="Y173" s="123" t="n">
        <v>11.31</v>
      </c>
      <c r="Z173" s="123" t="n">
        <v>4.25</v>
      </c>
      <c r="AA173" s="124">
        <f>MIN(V173:Z173)</f>
        <v/>
      </c>
      <c r="AB173" s="125">
        <f>MEDIAN(V173:Z173)</f>
        <v/>
      </c>
      <c r="AC173" s="126">
        <f>MAX(V173:Z173)</f>
        <v/>
      </c>
      <c r="AD173" s="127">
        <f>IFERROR((AC173-AA173)/AB173,"—")</f>
        <v/>
      </c>
      <c r="AE173" s="128">
        <f>AVERAGE(G173,H173)</f>
        <v/>
      </c>
      <c r="AF173" s="129" t="inlineStr">
        <is>
          <t>OK — sources align</t>
        </is>
      </c>
      <c r="AG173" s="130" t="inlineStr">
        <is>
          <t>category-fallback</t>
        </is>
      </c>
      <c r="AH173" s="127">
        <f>IFERROR((AB173-AE173)/AE173,"—")</f>
        <v/>
      </c>
      <c r="AI173" s="127">
        <f>IFERROR((S173-AE173)/AE173,"—")</f>
        <v/>
      </c>
      <c r="AJ173" s="131">
        <f>IF(AD173&gt;1, "⚠ HIGH SPREAD", IF(ABS(AH173)&gt;0.5, "⚠ DELTA", "OK"))</f>
        <v/>
      </c>
    </row>
    <row r="174" ht="27.75" customHeight="1" s="56">
      <c r="A174" s="78" t="n"/>
      <c r="B174" s="78" t="inlineStr">
        <is>
          <t>P-40-010</t>
        </is>
      </c>
      <c r="C174" s="59" t="inlineStr">
        <is>
          <t>Tank farm secondary bund</t>
        </is>
      </c>
      <c r="D174" s="78" t="inlineStr">
        <is>
          <t>m2</t>
        </is>
      </c>
      <c r="E174" s="79" t="n">
        <v>202</v>
      </c>
      <c r="F174" s="79" t="n">
        <v>399</v>
      </c>
      <c r="G174" s="79" t="n">
        <v>194</v>
      </c>
      <c r="H174" s="79" t="n">
        <v>388</v>
      </c>
      <c r="I174" s="80" t="n">
        <v>224</v>
      </c>
      <c r="J174" s="80" t="n">
        <v>448</v>
      </c>
      <c r="K174" s="80" t="n">
        <v>220</v>
      </c>
      <c r="L174" s="80" t="n">
        <v>410</v>
      </c>
      <c r="M174" s="81" t="n">
        <v>231</v>
      </c>
      <c r="N174" s="81" t="n">
        <v>513</v>
      </c>
      <c r="O174" s="81" t="n">
        <v>242</v>
      </c>
      <c r="P174" s="81" t="n">
        <v>494</v>
      </c>
      <c r="Q174" s="82" t="n">
        <v>286</v>
      </c>
      <c r="R174" s="82" t="n">
        <v>589</v>
      </c>
      <c r="S174" s="78" t="inlineStr">
        <is>
          <t>-</t>
        </is>
      </c>
      <c r="T174" s="78" t="inlineStr">
        <is>
          <t>-</t>
        </is>
      </c>
      <c r="U174" s="78" t="inlineStr">
        <is>
          <t>-</t>
        </is>
      </c>
      <c r="V174" s="123" t="n">
        <v>30.6</v>
      </c>
      <c r="W174" s="123" t="n">
        <v>36.27</v>
      </c>
      <c r="X174" s="123" t="n">
        <v>19.18</v>
      </c>
      <c r="Y174" s="123" t="n">
        <v>1.4</v>
      </c>
      <c r="Z174" s="123" t="n">
        <v>75</v>
      </c>
      <c r="AA174" s="124">
        <f>MIN(V174:Z174)</f>
        <v/>
      </c>
      <c r="AB174" s="125">
        <f>MEDIAN(V174:Z174)</f>
        <v/>
      </c>
      <c r="AC174" s="126">
        <f>MAX(V174:Z174)</f>
        <v/>
      </c>
      <c r="AD174" s="127">
        <f>IFERROR((AC174-AA174)/AB174,"—")</f>
        <v/>
      </c>
      <c r="AE174" s="128">
        <f>AVERAGE(G174,H174)</f>
        <v/>
      </c>
      <c r="AF174" s="129" t="inlineStr">
        <is>
          <t>OK — sources align</t>
        </is>
      </c>
      <c r="AG174" s="130" t="inlineStr">
        <is>
          <t>category-fallback</t>
        </is>
      </c>
      <c r="AH174" s="127">
        <f>IFERROR((AB174-AE174)/AE174,"—")</f>
        <v/>
      </c>
      <c r="AI174" s="127">
        <f>IFERROR((S174-AE174)/AE174,"—")</f>
        <v/>
      </c>
      <c r="AJ174" s="131">
        <f>IF(AD174&gt;1, "⚠ HIGH SPREAD", IF(ABS(AH174)&gt;0.5, "⚠ DELTA", "OK"))</f>
        <v/>
      </c>
    </row>
    <row r="175" ht="27.75" customHeight="1" s="56">
      <c r="A175" s="78" t="n"/>
      <c r="B175" s="78" t="inlineStr">
        <is>
          <t>P-40-008</t>
        </is>
      </c>
      <c r="C175" s="59" t="inlineStr">
        <is>
          <t>Thickener foundation - ring beam + center column</t>
        </is>
      </c>
      <c r="D175" s="78" t="inlineStr">
        <is>
          <t>ea</t>
        </is>
      </c>
      <c r="E175" s="79" t="n">
        <v>165600</v>
      </c>
      <c r="F175" s="79" t="n">
        <v>367500</v>
      </c>
      <c r="G175" s="79" t="n">
        <v>158400</v>
      </c>
      <c r="H175" s="79" t="n">
        <v>357000</v>
      </c>
      <c r="I175" s="80" t="n">
        <v>183600</v>
      </c>
      <c r="J175" s="80" t="n">
        <v>413000</v>
      </c>
      <c r="K175" s="80" t="n">
        <v>180000</v>
      </c>
      <c r="L175" s="80" t="n">
        <v>378000</v>
      </c>
      <c r="M175" s="81" t="n">
        <v>189000</v>
      </c>
      <c r="N175" s="81" t="n">
        <v>472500</v>
      </c>
      <c r="O175" s="81" t="n">
        <v>198000</v>
      </c>
      <c r="P175" s="81" t="n">
        <v>455000</v>
      </c>
      <c r="Q175" s="82" t="n">
        <v>234000</v>
      </c>
      <c r="R175" s="82" t="n">
        <v>542500</v>
      </c>
      <c r="S175" s="83" t="n">
        <v>1160.11732999331</v>
      </c>
      <c r="T175" s="78" t="inlineStr">
        <is>
          <t>-</t>
        </is>
      </c>
      <c r="U175" s="78" t="inlineStr">
        <is>
          <t>-</t>
        </is>
      </c>
      <c r="V175" s="132" t="inlineStr">
        <is>
          <t>—</t>
        </is>
      </c>
      <c r="W175" s="123" t="n">
        <v>4854.87</v>
      </c>
      <c r="X175" s="132" t="inlineStr">
        <is>
          <t>—</t>
        </is>
      </c>
      <c r="Y175" s="133" t="inlineStr">
        <is>
          <t>—</t>
        </is>
      </c>
      <c r="Z175" s="132" t="inlineStr">
        <is>
          <t>—</t>
        </is>
      </c>
      <c r="AA175" s="134" t="inlineStr">
        <is>
          <t>—</t>
        </is>
      </c>
      <c r="AB175" s="125">
        <f>MEDIAN(V175:Z175)</f>
        <v/>
      </c>
      <c r="AC175" s="132" t="inlineStr">
        <is>
          <t>—</t>
        </is>
      </c>
      <c r="AD175" s="132" t="inlineStr">
        <is>
          <t>—</t>
        </is>
      </c>
      <c r="AE175" s="128">
        <f>AVERAGE(G175,H175)</f>
        <v/>
      </c>
      <c r="AF175" s="129" t="inlineStr">
        <is>
          <t>Only 1/5 bidders priced — limited market signal</t>
        </is>
      </c>
      <c r="AG175" s="130" t="inlineStr">
        <is>
          <t>category-fallback</t>
        </is>
      </c>
      <c r="AH175" s="127">
        <f>IFERROR((AB175-AE175)/AE175,"—")</f>
        <v/>
      </c>
      <c r="AI175" s="127">
        <f>IFERROR((S175-AE175)/AE175,"—")</f>
        <v/>
      </c>
      <c r="AJ175" s="131" t="inlineStr">
        <is>
          <t>—</t>
        </is>
      </c>
    </row>
    <row r="176" ht="19.5" customHeight="1" s="56">
      <c r="A176" s="77" t="inlineStr">
        <is>
          <t>V. Pipeline</t>
        </is>
      </c>
    </row>
    <row r="177" ht="27.75" customHeight="1" s="56">
      <c r="A177" s="78" t="n"/>
      <c r="B177" s="78" t="inlineStr">
        <is>
          <t>SP-50-003</t>
        </is>
      </c>
      <c r="C177" s="59" t="inlineStr">
        <is>
          <t>HDPE slurry pipe 250mm SDR 11 - supply</t>
        </is>
      </c>
      <c r="D177" s="78" t="inlineStr">
        <is>
          <t>m</t>
        </is>
      </c>
      <c r="E177" s="79" t="n">
        <v>152</v>
      </c>
      <c r="F177" s="79" t="n">
        <v>278</v>
      </c>
      <c r="G177" s="79" t="n">
        <v>145</v>
      </c>
      <c r="H177" s="79" t="n">
        <v>270</v>
      </c>
      <c r="I177" s="80" t="n">
        <v>168</v>
      </c>
      <c r="J177" s="80" t="n">
        <v>313</v>
      </c>
      <c r="K177" s="80" t="n">
        <v>165</v>
      </c>
      <c r="L177" s="80" t="n">
        <v>286</v>
      </c>
      <c r="M177" s="81" t="n">
        <v>173</v>
      </c>
      <c r="N177" s="81" t="n">
        <v>358</v>
      </c>
      <c r="O177" s="81" t="n">
        <v>182</v>
      </c>
      <c r="P177" s="81" t="n">
        <v>344</v>
      </c>
      <c r="Q177" s="82" t="n">
        <v>214</v>
      </c>
      <c r="R177" s="82" t="n">
        <v>411</v>
      </c>
      <c r="S177" s="83" t="n">
        <v>425.363212030797</v>
      </c>
      <c r="T177" s="78" t="inlineStr">
        <is>
          <t>-</t>
        </is>
      </c>
      <c r="U177" s="78" t="inlineStr">
        <is>
          <t>-</t>
        </is>
      </c>
      <c r="V177" s="123" t="n">
        <v>490</v>
      </c>
      <c r="W177" s="123" t="n">
        <v>889.13</v>
      </c>
      <c r="X177" s="123" t="n">
        <v>826.35</v>
      </c>
      <c r="Y177" s="123" t="n">
        <v>220.87</v>
      </c>
      <c r="Z177" s="123" t="n">
        <v>500</v>
      </c>
      <c r="AA177" s="124">
        <f>MIN(V177:Z177)</f>
        <v/>
      </c>
      <c r="AB177" s="125">
        <f>MEDIAN(V177:Z177)</f>
        <v/>
      </c>
      <c r="AC177" s="126">
        <f>MAX(V177:Z177)</f>
        <v/>
      </c>
      <c r="AD177" s="127">
        <f>IFERROR((AC177-AA177)/AB177,"—")</f>
        <v/>
      </c>
      <c r="AE177" s="128">
        <f>AVERAGE(G177,H177)</f>
        <v/>
      </c>
      <c r="AF177" s="129" t="inlineStr">
        <is>
          <t>OK — sources align</t>
        </is>
      </c>
      <c r="AG177" s="130" t="inlineStr">
        <is>
          <t>size-matched</t>
        </is>
      </c>
      <c r="AH177" s="127">
        <f>IFERROR((AB177-AE177)/AE177,"—")</f>
        <v/>
      </c>
      <c r="AI177" s="127">
        <f>IFERROR((S177-AE177)/AE177,"—")</f>
        <v/>
      </c>
      <c r="AJ177" s="131">
        <f>IF(AD177&gt;1, "⚠ HIGH SPREAD", IF(ABS(AH177)&gt;0.5, "⚠ DELTA", "OK"))</f>
        <v/>
      </c>
    </row>
    <row r="178" ht="27.75" customHeight="1" s="56">
      <c r="A178" s="78" t="n"/>
      <c r="B178" s="78" t="inlineStr">
        <is>
          <t>SP-50-004</t>
        </is>
      </c>
      <c r="C178" s="59" t="inlineStr">
        <is>
          <t>HDPE slurry pipe 400mm SDR 11 - supply</t>
        </is>
      </c>
      <c r="D178" s="78" t="inlineStr">
        <is>
          <t>m</t>
        </is>
      </c>
      <c r="E178" s="79" t="n">
        <v>354</v>
      </c>
      <c r="F178" s="79" t="n">
        <v>651</v>
      </c>
      <c r="G178" s="79" t="n">
        <v>339</v>
      </c>
      <c r="H178" s="79" t="n">
        <v>632</v>
      </c>
      <c r="I178" s="80" t="n">
        <v>393</v>
      </c>
      <c r="J178" s="80" t="n">
        <v>732</v>
      </c>
      <c r="K178" s="80" t="n">
        <v>385</v>
      </c>
      <c r="L178" s="80" t="n">
        <v>670</v>
      </c>
      <c r="M178" s="81" t="n">
        <v>404</v>
      </c>
      <c r="N178" s="81" t="n">
        <v>837</v>
      </c>
      <c r="O178" s="81" t="n">
        <v>424</v>
      </c>
      <c r="P178" s="81" t="n">
        <v>806</v>
      </c>
      <c r="Q178" s="82" t="n">
        <v>500</v>
      </c>
      <c r="R178" s="82" t="n">
        <v>961</v>
      </c>
      <c r="S178" s="83" t="n">
        <v>425.363212030797</v>
      </c>
      <c r="T178" s="78" t="inlineStr">
        <is>
          <t>-</t>
        </is>
      </c>
      <c r="U178" s="78" t="inlineStr">
        <is>
          <t>-</t>
        </is>
      </c>
      <c r="V178" s="123" t="n">
        <v>490</v>
      </c>
      <c r="W178" s="123" t="n">
        <v>889.13</v>
      </c>
      <c r="X178" s="123" t="n">
        <v>826.35</v>
      </c>
      <c r="Y178" s="123" t="n">
        <v>220.87</v>
      </c>
      <c r="Z178" s="123" t="n">
        <v>500</v>
      </c>
      <c r="AA178" s="124">
        <f>MIN(V178:Z178)</f>
        <v/>
      </c>
      <c r="AB178" s="125">
        <f>MEDIAN(V178:Z178)</f>
        <v/>
      </c>
      <c r="AC178" s="126">
        <f>MAX(V178:Z178)</f>
        <v/>
      </c>
      <c r="AD178" s="127">
        <f>IFERROR((AC178-AA178)/AB178,"—")</f>
        <v/>
      </c>
      <c r="AE178" s="128">
        <f>AVERAGE(G178,H178)</f>
        <v/>
      </c>
      <c r="AF178" s="129" t="inlineStr">
        <is>
          <t>OK — sources align</t>
        </is>
      </c>
      <c r="AG178" s="130" t="inlineStr">
        <is>
          <t>size-matched</t>
        </is>
      </c>
      <c r="AH178" s="127">
        <f>IFERROR((AB178-AE178)/AE178,"—")</f>
        <v/>
      </c>
      <c r="AI178" s="127">
        <f>IFERROR((S178-AE178)/AE178,"—")</f>
        <v/>
      </c>
      <c r="AJ178" s="131">
        <f>IF(AD178&gt;1, "⚠ HIGH SPREAD", IF(ABS(AH178)&gt;0.5, "⚠ DELTA", "OK"))</f>
        <v/>
      </c>
    </row>
    <row r="179" ht="27.75" customHeight="1" s="56">
      <c r="A179" s="78" t="n"/>
      <c r="B179" s="78" t="inlineStr">
        <is>
          <t>SP-50-001</t>
        </is>
      </c>
      <c r="C179" s="59" t="inlineStr">
        <is>
          <t>Pipeline ROW clearing + grading per km</t>
        </is>
      </c>
      <c r="D179" s="78" t="inlineStr">
        <is>
          <t>km</t>
        </is>
      </c>
      <c r="E179" s="79" t="n">
        <v>25760</v>
      </c>
      <c r="F179" s="79" t="n">
        <v>68250</v>
      </c>
      <c r="G179" s="79" t="n">
        <v>24640</v>
      </c>
      <c r="H179" s="79" t="n">
        <v>66300</v>
      </c>
      <c r="I179" s="80" t="n">
        <v>28560</v>
      </c>
      <c r="J179" s="80" t="n">
        <v>76700</v>
      </c>
      <c r="K179" s="80" t="n">
        <v>28000</v>
      </c>
      <c r="L179" s="80" t="n">
        <v>70200</v>
      </c>
      <c r="M179" s="81" t="n">
        <v>29400</v>
      </c>
      <c r="N179" s="81" t="n">
        <v>87750</v>
      </c>
      <c r="O179" s="81" t="n">
        <v>30800</v>
      </c>
      <c r="P179" s="81" t="n">
        <v>84500</v>
      </c>
      <c r="Q179" s="82" t="n">
        <v>36400</v>
      </c>
      <c r="R179" s="82" t="n">
        <v>100750</v>
      </c>
      <c r="S179" s="78" t="inlineStr">
        <is>
          <t>-</t>
        </is>
      </c>
      <c r="T179" s="78" t="inlineStr">
        <is>
          <t>-</t>
        </is>
      </c>
      <c r="U179" s="78" t="inlineStr">
        <is>
          <t>-</t>
        </is>
      </c>
      <c r="V179" s="135" t="inlineStr">
        <is>
          <t>—</t>
        </is>
      </c>
      <c r="W179" s="135" t="inlineStr">
        <is>
          <t>—</t>
        </is>
      </c>
      <c r="X179" s="135" t="inlineStr">
        <is>
          <t>—</t>
        </is>
      </c>
      <c r="Y179" s="133" t="inlineStr">
        <is>
          <t>—</t>
        </is>
      </c>
      <c r="Z179" s="132" t="inlineStr">
        <is>
          <t>—</t>
        </is>
      </c>
      <c r="AA179" s="134" t="inlineStr">
        <is>
          <t>—</t>
        </is>
      </c>
      <c r="AB179" s="134" t="inlineStr">
        <is>
          <t>—</t>
        </is>
      </c>
      <c r="AC179" s="132" t="inlineStr">
        <is>
          <t>—</t>
        </is>
      </c>
      <c r="AD179" s="132" t="inlineStr">
        <is>
          <t>—</t>
        </is>
      </c>
      <c r="AE179" s="128">
        <f>AVERAGE(G179,H179)</f>
        <v/>
      </c>
      <c r="AF179" s="129" t="inlineStr">
        <is>
          <t>No bidder data; SME only</t>
        </is>
      </c>
      <c r="AG179" s="130" t="inlineStr">
        <is>
          <t>no match</t>
        </is>
      </c>
      <c r="AH179" s="127">
        <f>IFERROR((AB179-AE179)/AE179,"—")</f>
        <v/>
      </c>
      <c r="AI179" s="127">
        <f>IFERROR((S179-AE179)/AE179,"—")</f>
        <v/>
      </c>
      <c r="AJ179" s="131" t="inlineStr">
        <is>
          <t>—</t>
        </is>
      </c>
    </row>
    <row r="180" ht="27.75" customHeight="1" s="56">
      <c r="A180" s="78" t="n"/>
      <c r="B180" s="78" t="inlineStr">
        <is>
          <t>SP-50-006</t>
        </is>
      </c>
      <c r="C180" s="59" t="inlineStr">
        <is>
          <t>Pipeline install incl. fusion/weld+lay</t>
        </is>
      </c>
      <c r="D180" s="78" t="inlineStr">
        <is>
          <t>m</t>
        </is>
      </c>
      <c r="E180" s="79" t="n">
        <v>129</v>
      </c>
      <c r="F180" s="79" t="n">
        <v>252</v>
      </c>
      <c r="G180" s="79" t="n">
        <v>123</v>
      </c>
      <c r="H180" s="79" t="n">
        <v>245</v>
      </c>
      <c r="I180" s="80" t="n">
        <v>143</v>
      </c>
      <c r="J180" s="80" t="n">
        <v>283</v>
      </c>
      <c r="K180" s="80" t="n">
        <v>140</v>
      </c>
      <c r="L180" s="80" t="n">
        <v>259</v>
      </c>
      <c r="M180" s="81" t="n">
        <v>147</v>
      </c>
      <c r="N180" s="81" t="n">
        <v>324</v>
      </c>
      <c r="O180" s="81" t="n">
        <v>154</v>
      </c>
      <c r="P180" s="81" t="n">
        <v>312</v>
      </c>
      <c r="Q180" s="82" t="n">
        <v>182</v>
      </c>
      <c r="R180" s="82" t="n">
        <v>372</v>
      </c>
      <c r="S180" s="78" t="inlineStr">
        <is>
          <t>-</t>
        </is>
      </c>
      <c r="T180" s="78" t="inlineStr">
        <is>
          <t>-</t>
        </is>
      </c>
      <c r="U180" s="78" t="inlineStr">
        <is>
          <t>-</t>
        </is>
      </c>
      <c r="V180" s="123" t="n">
        <v>123.95</v>
      </c>
      <c r="W180" s="123" t="n">
        <v>595.41</v>
      </c>
      <c r="X180" s="123" t="n">
        <v>327.77</v>
      </c>
      <c r="Y180" s="123" t="n">
        <v>132.1</v>
      </c>
      <c r="Z180" s="123" t="n">
        <v>600</v>
      </c>
      <c r="AA180" s="124">
        <f>MIN(V180:Z180)</f>
        <v/>
      </c>
      <c r="AB180" s="125">
        <f>MEDIAN(V180:Z180)</f>
        <v/>
      </c>
      <c r="AC180" s="126">
        <f>MAX(V180:Z180)</f>
        <v/>
      </c>
      <c r="AD180" s="127">
        <f>IFERROR((AC180-AA180)/AB180,"—")</f>
        <v/>
      </c>
      <c r="AE180" s="128">
        <f>AVERAGE(G180,H180)</f>
        <v/>
      </c>
      <c r="AF180" s="129" t="inlineStr">
        <is>
          <t>OK — sources align</t>
        </is>
      </c>
      <c r="AG180" s="130" t="inlineStr">
        <is>
          <t>category-fallback</t>
        </is>
      </c>
      <c r="AH180" s="127">
        <f>IFERROR((AB180-AE180)/AE180,"—")</f>
        <v/>
      </c>
      <c r="AI180" s="127">
        <f>IFERROR((S180-AE180)/AE180,"—")</f>
        <v/>
      </c>
      <c r="AJ180" s="131">
        <f>IF(AD180&gt;1, "⚠ HIGH SPREAD", IF(ABS(AH180)&gt;0.5, "⚠ DELTA", "OK"))</f>
        <v/>
      </c>
    </row>
    <row r="181" ht="27.75" customHeight="1" s="56">
      <c r="A181" s="78" t="n"/>
      <c r="B181" s="78" t="inlineStr">
        <is>
          <t>SP-50-007</t>
        </is>
      </c>
      <c r="C181" s="59" t="inlineStr">
        <is>
          <t>Pipeline pigging launcher/receiver</t>
        </is>
      </c>
      <c r="D181" s="78" t="inlineStr">
        <is>
          <t>ea</t>
        </is>
      </c>
      <c r="E181" s="79" t="n">
        <v>78200</v>
      </c>
      <c r="F181" s="79" t="n">
        <v>173250</v>
      </c>
      <c r="G181" s="79" t="n">
        <v>74800</v>
      </c>
      <c r="H181" s="79" t="n">
        <v>168300</v>
      </c>
      <c r="I181" s="80" t="n">
        <v>86700</v>
      </c>
      <c r="J181" s="80" t="n">
        <v>194700</v>
      </c>
      <c r="K181" s="80" t="n">
        <v>85000</v>
      </c>
      <c r="L181" s="80" t="n">
        <v>178200</v>
      </c>
      <c r="M181" s="81" t="n">
        <v>89250</v>
      </c>
      <c r="N181" s="81" t="n">
        <v>222750</v>
      </c>
      <c r="O181" s="81" t="n">
        <v>93500</v>
      </c>
      <c r="P181" s="81" t="n">
        <v>214500</v>
      </c>
      <c r="Q181" s="82" t="n">
        <v>110500</v>
      </c>
      <c r="R181" s="82" t="n">
        <v>255750</v>
      </c>
      <c r="S181" s="78" t="inlineStr">
        <is>
          <t>-</t>
        </is>
      </c>
      <c r="T181" s="78" t="inlineStr">
        <is>
          <t>-</t>
        </is>
      </c>
      <c r="U181" s="78" t="inlineStr">
        <is>
          <t>-</t>
        </is>
      </c>
      <c r="V181" s="132" t="inlineStr">
        <is>
          <t>—</t>
        </is>
      </c>
      <c r="W181" s="132" t="inlineStr">
        <is>
          <t>—</t>
        </is>
      </c>
      <c r="X181" s="132" t="inlineStr">
        <is>
          <t>—</t>
        </is>
      </c>
      <c r="Y181" s="133" t="inlineStr">
        <is>
          <t>—</t>
        </is>
      </c>
      <c r="Z181" s="132" t="inlineStr">
        <is>
          <t>—</t>
        </is>
      </c>
      <c r="AA181" s="134" t="inlineStr">
        <is>
          <t>—</t>
        </is>
      </c>
      <c r="AB181" s="134" t="inlineStr">
        <is>
          <t>—</t>
        </is>
      </c>
      <c r="AC181" s="132" t="inlineStr">
        <is>
          <t>—</t>
        </is>
      </c>
      <c r="AD181" s="132" t="inlineStr">
        <is>
          <t>—</t>
        </is>
      </c>
      <c r="AE181" s="128">
        <f>AVERAGE(G181,H181)</f>
        <v/>
      </c>
      <c r="AF181" s="129" t="inlineStr">
        <is>
          <t>No bidder data; SME only</t>
        </is>
      </c>
      <c r="AG181" s="130" t="inlineStr">
        <is>
          <t>no match</t>
        </is>
      </c>
      <c r="AH181" s="127">
        <f>IFERROR((AB181-AE181)/AE181,"—")</f>
        <v/>
      </c>
      <c r="AI181" s="127">
        <f>IFERROR((S181-AE181)/AE181,"—")</f>
        <v/>
      </c>
      <c r="AJ181" s="131" t="inlineStr">
        <is>
          <t>—</t>
        </is>
      </c>
    </row>
    <row r="182" ht="27.75" customHeight="1" s="56">
      <c r="A182" s="78" t="n"/>
      <c r="B182" s="78" t="inlineStr">
        <is>
          <t>SP-50-002</t>
        </is>
      </c>
      <c r="C182" s="59" t="inlineStr">
        <is>
          <t>Pipeline trench 1.5m depth - excavation only</t>
        </is>
      </c>
      <c r="D182" s="78" t="inlineStr">
        <is>
          <t>m</t>
        </is>
      </c>
      <c r="E182" s="79" t="n">
        <v>41</v>
      </c>
      <c r="F182" s="79" t="n">
        <v>89</v>
      </c>
      <c r="G182" s="79" t="n">
        <v>40</v>
      </c>
      <c r="H182" s="79" t="n">
        <v>87</v>
      </c>
      <c r="I182" s="80" t="n">
        <v>46</v>
      </c>
      <c r="J182" s="80" t="n">
        <v>100</v>
      </c>
      <c r="K182" s="80" t="n">
        <v>45</v>
      </c>
      <c r="L182" s="80" t="n">
        <v>92</v>
      </c>
      <c r="M182" s="81" t="n">
        <v>47</v>
      </c>
      <c r="N182" s="81" t="n">
        <v>115</v>
      </c>
      <c r="O182" s="81" t="n">
        <v>50</v>
      </c>
      <c r="P182" s="81" t="n">
        <v>110</v>
      </c>
      <c r="Q182" s="82" t="n">
        <v>58</v>
      </c>
      <c r="R182" s="82" t="n">
        <v>132</v>
      </c>
      <c r="S182" s="78" t="inlineStr">
        <is>
          <t>-</t>
        </is>
      </c>
      <c r="T182" s="78" t="inlineStr">
        <is>
          <t>-</t>
        </is>
      </c>
      <c r="U182" s="78" t="inlineStr">
        <is>
          <t>-</t>
        </is>
      </c>
      <c r="V182" s="123" t="n">
        <v>240</v>
      </c>
      <c r="W182" s="123" t="n">
        <v>789.8</v>
      </c>
      <c r="X182" s="123" t="n">
        <v>438</v>
      </c>
      <c r="Y182" s="123" t="n">
        <v>341.86</v>
      </c>
      <c r="Z182" s="123" t="n">
        <v>600</v>
      </c>
      <c r="AA182" s="124">
        <f>MIN(V182:Z182)</f>
        <v/>
      </c>
      <c r="AB182" s="125">
        <f>MEDIAN(V182:Z182)</f>
        <v/>
      </c>
      <c r="AC182" s="126">
        <f>MAX(V182:Z182)</f>
        <v/>
      </c>
      <c r="AD182" s="127">
        <f>IFERROR((AC182-AA182)/AB182,"—")</f>
        <v/>
      </c>
      <c r="AE182" s="128">
        <f>AVERAGE(G182,H182)</f>
        <v/>
      </c>
      <c r="AF182" s="129" t="inlineStr">
        <is>
          <t>OK — sources align</t>
        </is>
      </c>
      <c r="AG182" s="130" t="inlineStr">
        <is>
          <t>category-fallback</t>
        </is>
      </c>
      <c r="AH182" s="127">
        <f>IFERROR((AB182-AE182)/AE182,"—")</f>
        <v/>
      </c>
      <c r="AI182" s="127">
        <f>IFERROR((S182-AE182)/AE182,"—")</f>
        <v/>
      </c>
      <c r="AJ182" s="131">
        <f>IF(AD182&gt;1, "⚠ HIGH SPREAD", IF(ABS(AH182)&gt;0.5, "⚠ DELTA", "OK"))</f>
        <v/>
      </c>
    </row>
    <row r="183" ht="27.75" customHeight="1" s="56">
      <c r="A183" s="78" t="n"/>
      <c r="B183" s="78" t="inlineStr">
        <is>
          <t>SP-50-008</t>
        </is>
      </c>
      <c r="C183" s="59" t="inlineStr">
        <is>
          <t>Pipeline valve station w/ concrete pad+fence</t>
        </is>
      </c>
      <c r="D183" s="78" t="inlineStr">
        <is>
          <t>ea</t>
        </is>
      </c>
      <c r="E183" s="79" t="n">
        <v>50600</v>
      </c>
      <c r="F183" s="79" t="n">
        <v>120750</v>
      </c>
      <c r="G183" s="79" t="n">
        <v>48400</v>
      </c>
      <c r="H183" s="79" t="n">
        <v>117300</v>
      </c>
      <c r="I183" s="80" t="n">
        <v>56100</v>
      </c>
      <c r="J183" s="80" t="n">
        <v>135700</v>
      </c>
      <c r="K183" s="80" t="n">
        <v>55000</v>
      </c>
      <c r="L183" s="80" t="n">
        <v>124200</v>
      </c>
      <c r="M183" s="81" t="n">
        <v>57750</v>
      </c>
      <c r="N183" s="81" t="n">
        <v>155250</v>
      </c>
      <c r="O183" s="81" t="n">
        <v>60500</v>
      </c>
      <c r="P183" s="81" t="n">
        <v>149500</v>
      </c>
      <c r="Q183" s="82" t="n">
        <v>71500</v>
      </c>
      <c r="R183" s="82" t="n">
        <v>178250</v>
      </c>
      <c r="S183" s="83" t="n">
        <v>4731.16133471957</v>
      </c>
      <c r="T183" s="78" t="inlineStr">
        <is>
          <t>-</t>
        </is>
      </c>
      <c r="U183" s="78" t="inlineStr">
        <is>
          <t>-</t>
        </is>
      </c>
      <c r="V183" s="123" t="n">
        <v>82800</v>
      </c>
      <c r="W183" s="123" t="n">
        <v>13822.43</v>
      </c>
      <c r="X183" s="123" t="n">
        <v>6201.82</v>
      </c>
      <c r="Y183" s="133" t="inlineStr">
        <is>
          <t>—</t>
        </is>
      </c>
      <c r="Z183" s="123" t="n">
        <v>16250</v>
      </c>
      <c r="AA183" s="124">
        <f>MIN(V183:Z183)</f>
        <v/>
      </c>
      <c r="AB183" s="125">
        <f>MEDIAN(V183:Z183)</f>
        <v/>
      </c>
      <c r="AC183" s="126">
        <f>MAX(V183:Z183)</f>
        <v/>
      </c>
      <c r="AD183" s="127">
        <f>IFERROR((AC183-AA183)/AB183,"—")</f>
        <v/>
      </c>
      <c r="AE183" s="128">
        <f>AVERAGE(G183,H183)</f>
        <v/>
      </c>
      <c r="AF183" s="129" t="inlineStr">
        <is>
          <t>OK — sources align</t>
        </is>
      </c>
      <c r="AG183" s="130" t="inlineStr">
        <is>
          <t>category-fallback</t>
        </is>
      </c>
      <c r="AH183" s="127">
        <f>IFERROR((AB183-AE183)/AE183,"—")</f>
        <v/>
      </c>
      <c r="AI183" s="127">
        <f>IFERROR((S183-AE183)/AE183,"—")</f>
        <v/>
      </c>
      <c r="AJ183" s="131">
        <f>IF(AD183&gt;1, "⚠ HIGH SPREAD", IF(ABS(AH183)&gt;0.5, "⚠ DELTA", "OK"))</f>
        <v/>
      </c>
    </row>
    <row r="184" ht="27.75" customHeight="1" s="56">
      <c r="A184" s="78" t="n"/>
      <c r="B184" s="78" t="inlineStr">
        <is>
          <t>SP-50-010</t>
        </is>
      </c>
      <c r="C184" s="59" t="inlineStr">
        <is>
          <t>River/road crossing - HDD per m</t>
        </is>
      </c>
      <c r="D184" s="78" t="inlineStr">
        <is>
          <t>m</t>
        </is>
      </c>
      <c r="E184" s="79" t="n">
        <v>1104</v>
      </c>
      <c r="F184" s="79" t="n">
        <v>2940</v>
      </c>
      <c r="G184" s="79" t="n">
        <v>1056</v>
      </c>
      <c r="H184" s="79" t="n">
        <v>2856</v>
      </c>
      <c r="I184" s="80" t="n">
        <v>1224</v>
      </c>
      <c r="J184" s="80" t="n">
        <v>3304</v>
      </c>
      <c r="K184" s="80" t="n">
        <v>1200</v>
      </c>
      <c r="L184" s="80" t="n">
        <v>3024</v>
      </c>
      <c r="M184" s="81" t="n">
        <v>1260</v>
      </c>
      <c r="N184" s="81" t="n">
        <v>3780</v>
      </c>
      <c r="O184" s="81" t="n">
        <v>1320</v>
      </c>
      <c r="P184" s="81" t="n">
        <v>3640</v>
      </c>
      <c r="Q184" s="82" t="n">
        <v>1560</v>
      </c>
      <c r="R184" s="82" t="n">
        <v>4340</v>
      </c>
      <c r="S184" s="78" t="inlineStr">
        <is>
          <t>-</t>
        </is>
      </c>
      <c r="T184" s="78" t="inlineStr">
        <is>
          <t>-</t>
        </is>
      </c>
      <c r="U184" s="78" t="inlineStr">
        <is>
          <t>-</t>
        </is>
      </c>
      <c r="V184" s="132" t="inlineStr">
        <is>
          <t>—</t>
        </is>
      </c>
      <c r="W184" s="132" t="inlineStr">
        <is>
          <t>—</t>
        </is>
      </c>
      <c r="X184" s="132" t="inlineStr">
        <is>
          <t>—</t>
        </is>
      </c>
      <c r="Y184" s="133" t="inlineStr">
        <is>
          <t>—</t>
        </is>
      </c>
      <c r="Z184" s="132" t="inlineStr">
        <is>
          <t>—</t>
        </is>
      </c>
      <c r="AA184" s="134" t="inlineStr">
        <is>
          <t>—</t>
        </is>
      </c>
      <c r="AB184" s="134" t="inlineStr">
        <is>
          <t>—</t>
        </is>
      </c>
      <c r="AC184" s="132" t="inlineStr">
        <is>
          <t>—</t>
        </is>
      </c>
      <c r="AD184" s="132" t="inlineStr">
        <is>
          <t>—</t>
        </is>
      </c>
      <c r="AE184" s="128">
        <f>AVERAGE(G184,H184)</f>
        <v/>
      </c>
      <c r="AF184" s="129" t="inlineStr">
        <is>
          <t>No bidder data; SME only</t>
        </is>
      </c>
      <c r="AG184" s="130" t="inlineStr">
        <is>
          <t>no match</t>
        </is>
      </c>
      <c r="AH184" s="127">
        <f>IFERROR((AB184-AE184)/AE184,"—")</f>
        <v/>
      </c>
      <c r="AI184" s="127">
        <f>IFERROR((S184-AE184)/AE184,"—")</f>
        <v/>
      </c>
      <c r="AJ184" s="131" t="inlineStr">
        <is>
          <t>—</t>
        </is>
      </c>
    </row>
    <row r="185" ht="27.75" customHeight="1" s="56">
      <c r="A185" s="78" t="n"/>
      <c r="B185" s="78" t="inlineStr">
        <is>
          <t>SP-50-005</t>
        </is>
      </c>
      <c r="C185" s="59" t="inlineStr">
        <is>
          <t>Steel slurry pipe 300mm Sch 80</t>
        </is>
      </c>
      <c r="D185" s="78" t="inlineStr">
        <is>
          <t>m</t>
        </is>
      </c>
      <c r="E185" s="79" t="n">
        <v>414</v>
      </c>
      <c r="F185" s="79" t="n">
        <v>756</v>
      </c>
      <c r="G185" s="79" t="n">
        <v>396</v>
      </c>
      <c r="H185" s="79" t="n">
        <v>734</v>
      </c>
      <c r="I185" s="80" t="n">
        <v>459</v>
      </c>
      <c r="J185" s="80" t="n">
        <v>850</v>
      </c>
      <c r="K185" s="80" t="n">
        <v>450</v>
      </c>
      <c r="L185" s="80" t="n">
        <v>778</v>
      </c>
      <c r="M185" s="81" t="n">
        <v>472</v>
      </c>
      <c r="N185" s="81" t="n">
        <v>972</v>
      </c>
      <c r="O185" s="81" t="n">
        <v>495</v>
      </c>
      <c r="P185" s="81" t="n">
        <v>936</v>
      </c>
      <c r="Q185" s="82" t="n">
        <v>585</v>
      </c>
      <c r="R185" s="82" t="n">
        <v>1116</v>
      </c>
      <c r="S185" s="83" t="n">
        <v>425.363212030797</v>
      </c>
      <c r="T185" s="78" t="inlineStr">
        <is>
          <t>-</t>
        </is>
      </c>
      <c r="U185" s="78" t="inlineStr">
        <is>
          <t>-</t>
        </is>
      </c>
      <c r="V185" s="123" t="n">
        <v>290</v>
      </c>
      <c r="W185" s="123" t="n">
        <v>414.67</v>
      </c>
      <c r="X185" s="123" t="n">
        <v>1193.04</v>
      </c>
      <c r="Y185" s="123" t="n">
        <v>280.11</v>
      </c>
      <c r="Z185" s="123" t="n">
        <v>450</v>
      </c>
      <c r="AA185" s="124">
        <f>MIN(V185:Z185)</f>
        <v/>
      </c>
      <c r="AB185" s="125">
        <f>MEDIAN(V185:Z185)</f>
        <v/>
      </c>
      <c r="AC185" s="126">
        <f>MAX(V185:Z185)</f>
        <v/>
      </c>
      <c r="AD185" s="127">
        <f>IFERROR((AC185-AA185)/AB185,"—")</f>
        <v/>
      </c>
      <c r="AE185" s="128">
        <f>AVERAGE(G185,H185)</f>
        <v/>
      </c>
      <c r="AF185" s="129" t="inlineStr">
        <is>
          <t>OK — sources align</t>
        </is>
      </c>
      <c r="AG185" s="130" t="inlineStr">
        <is>
          <t>size-matched</t>
        </is>
      </c>
      <c r="AH185" s="127">
        <f>IFERROR((AB185-AE185)/AE185,"—")</f>
        <v/>
      </c>
      <c r="AI185" s="127">
        <f>IFERROR((S185-AE185)/AE185,"—")</f>
        <v/>
      </c>
      <c r="AJ185" s="131">
        <f>IF(AD185&gt;1, "⚠ HIGH SPREAD", IF(ABS(AH185)&gt;0.5, "⚠ DELTA", "OK"))</f>
        <v/>
      </c>
    </row>
    <row r="186" ht="19.5" customHeight="1" s="56">
      <c r="A186" s="77" t="inlineStr">
        <is>
          <t>W. Bridges</t>
        </is>
      </c>
    </row>
    <row r="187" ht="27.75" customHeight="1" s="56">
      <c r="A187" s="78" t="n"/>
      <c r="B187" s="78" t="inlineStr">
        <is>
          <t>BR-60-004</t>
        </is>
      </c>
      <c r="C187" s="59" t="inlineStr">
        <is>
          <t>Bridge abutment - concrete CIP</t>
        </is>
      </c>
      <c r="D187" s="78" t="inlineStr">
        <is>
          <t>m3</t>
        </is>
      </c>
      <c r="E187" s="79" t="n">
        <v>2576</v>
      </c>
      <c r="F187" s="79" t="n">
        <v>4410</v>
      </c>
      <c r="G187" s="79" t="n">
        <v>2464</v>
      </c>
      <c r="H187" s="79" t="n">
        <v>4284</v>
      </c>
      <c r="I187" s="80" t="n">
        <v>2856</v>
      </c>
      <c r="J187" s="80" t="n">
        <v>4956</v>
      </c>
      <c r="K187" s="80" t="n">
        <v>2800</v>
      </c>
      <c r="L187" s="80" t="n">
        <v>4536</v>
      </c>
      <c r="M187" s="81" t="n">
        <v>2940</v>
      </c>
      <c r="N187" s="81" t="n">
        <v>5670</v>
      </c>
      <c r="O187" s="81" t="n">
        <v>3080</v>
      </c>
      <c r="P187" s="81" t="n">
        <v>5460</v>
      </c>
      <c r="Q187" s="82" t="n">
        <v>3640</v>
      </c>
      <c r="R187" s="82" t="n">
        <v>6510</v>
      </c>
      <c r="S187" s="78" t="inlineStr">
        <is>
          <t>-</t>
        </is>
      </c>
      <c r="T187" s="78" t="inlineStr">
        <is>
          <t>-</t>
        </is>
      </c>
      <c r="U187" s="78" t="inlineStr">
        <is>
          <t>-</t>
        </is>
      </c>
      <c r="V187" s="123" t="n">
        <v>1885</v>
      </c>
      <c r="W187" s="123" t="n">
        <v>4854.87</v>
      </c>
      <c r="X187" s="123" t="n">
        <v>1803.8</v>
      </c>
      <c r="Y187" s="133" t="inlineStr">
        <is>
          <t>—</t>
        </is>
      </c>
      <c r="Z187" s="132" t="inlineStr">
        <is>
          <t>—</t>
        </is>
      </c>
      <c r="AA187" s="124">
        <f>MIN(V187:Z187)</f>
        <v/>
      </c>
      <c r="AB187" s="125">
        <f>MEDIAN(V187:Z187)</f>
        <v/>
      </c>
      <c r="AC187" s="126">
        <f>MAX(V187:Z187)</f>
        <v/>
      </c>
      <c r="AD187" s="127">
        <f>IFERROR((AC187-AA187)/AB187,"—")</f>
        <v/>
      </c>
      <c r="AE187" s="128">
        <f>AVERAGE(G187,H187)</f>
        <v/>
      </c>
      <c r="AF187" s="129" t="inlineStr">
        <is>
          <t>OK — sources align</t>
        </is>
      </c>
      <c r="AG187" s="130" t="inlineStr">
        <is>
          <t>category-fallback</t>
        </is>
      </c>
      <c r="AH187" s="127">
        <f>IFERROR((AB187-AE187)/AE187,"—")</f>
        <v/>
      </c>
      <c r="AI187" s="127">
        <f>IFERROR((S187-AE187)/AE187,"—")</f>
        <v/>
      </c>
      <c r="AJ187" s="131">
        <f>IF(AD187&gt;1, "⚠ HIGH SPREAD", IF(ABS(AH187)&gt;0.5, "⚠ DELTA", "OK"))</f>
        <v/>
      </c>
    </row>
    <row r="188" ht="27.75" customHeight="1" s="56">
      <c r="A188" s="78" t="n"/>
      <c r="B188" s="78" t="inlineStr">
        <is>
          <t>BR-60-005</t>
        </is>
      </c>
      <c r="C188" s="59" t="inlineStr">
        <is>
          <t>Bridge pier - concrete CIP</t>
        </is>
      </c>
      <c r="D188" s="78" t="inlineStr">
        <is>
          <t>m3</t>
        </is>
      </c>
      <c r="E188" s="79" t="n">
        <v>2944</v>
      </c>
      <c r="F188" s="79" t="n">
        <v>5040</v>
      </c>
      <c r="G188" s="79" t="n">
        <v>2816</v>
      </c>
      <c r="H188" s="79" t="n">
        <v>4896</v>
      </c>
      <c r="I188" s="80" t="n">
        <v>3264</v>
      </c>
      <c r="J188" s="80" t="n">
        <v>5664</v>
      </c>
      <c r="K188" s="80" t="n">
        <v>3200</v>
      </c>
      <c r="L188" s="80" t="n">
        <v>5184</v>
      </c>
      <c r="M188" s="81" t="n">
        <v>3360</v>
      </c>
      <c r="N188" s="81" t="n">
        <v>6480</v>
      </c>
      <c r="O188" s="81" t="n">
        <v>3520</v>
      </c>
      <c r="P188" s="81" t="n">
        <v>6240</v>
      </c>
      <c r="Q188" s="82" t="n">
        <v>4160</v>
      </c>
      <c r="R188" s="82" t="n">
        <v>7440</v>
      </c>
      <c r="S188" s="83" t="n">
        <v>1680.65</v>
      </c>
      <c r="T188" s="78" t="inlineStr">
        <is>
          <t>-</t>
        </is>
      </c>
      <c r="U188" s="78" t="inlineStr">
        <is>
          <t>-</t>
        </is>
      </c>
      <c r="V188" s="123" t="n">
        <v>1885</v>
      </c>
      <c r="W188" s="123" t="n">
        <v>4854.87</v>
      </c>
      <c r="X188" s="123" t="n">
        <v>1803.8</v>
      </c>
      <c r="Y188" s="133" t="inlineStr">
        <is>
          <t>—</t>
        </is>
      </c>
      <c r="Z188" s="132" t="inlineStr">
        <is>
          <t>—</t>
        </is>
      </c>
      <c r="AA188" s="124">
        <f>MIN(V188:Z188)</f>
        <v/>
      </c>
      <c r="AB188" s="125">
        <f>MEDIAN(V188:Z188)</f>
        <v/>
      </c>
      <c r="AC188" s="126">
        <f>MAX(V188:Z188)</f>
        <v/>
      </c>
      <c r="AD188" s="127">
        <f>IFERROR((AC188-AA188)/AB188,"—")</f>
        <v/>
      </c>
      <c r="AE188" s="128">
        <f>AVERAGE(G188,H188)</f>
        <v/>
      </c>
      <c r="AF188" s="129" t="inlineStr">
        <is>
          <t>OK — sources align</t>
        </is>
      </c>
      <c r="AG188" s="130" t="inlineStr">
        <is>
          <t>category-fallback</t>
        </is>
      </c>
      <c r="AH188" s="127">
        <f>IFERROR((AB188-AE188)/AE188,"—")</f>
        <v/>
      </c>
      <c r="AI188" s="127">
        <f>IFERROR((S188-AE188)/AE188,"—")</f>
        <v/>
      </c>
      <c r="AJ188" s="131">
        <f>IF(AD188&gt;1, "⚠ HIGH SPREAD", IF(ABS(AH188)&gt;0.5, "⚠ DELTA", "OK"))</f>
        <v/>
      </c>
    </row>
    <row r="189" ht="27.75" customHeight="1" s="56">
      <c r="A189" s="78" t="n"/>
      <c r="B189" s="78" t="inlineStr">
        <is>
          <t>BR-60-002</t>
        </is>
      </c>
      <c r="C189" s="59" t="inlineStr">
        <is>
          <t>CIP concrete bridge 15-25m span - S+I</t>
        </is>
      </c>
      <c r="D189" s="78" t="inlineStr">
        <is>
          <t>m2 deck</t>
        </is>
      </c>
      <c r="E189" s="79" t="n">
        <v>4140</v>
      </c>
      <c r="F189" s="79" t="n">
        <v>7875</v>
      </c>
      <c r="G189" s="79" t="n">
        <v>3960</v>
      </c>
      <c r="H189" s="79" t="n">
        <v>7650</v>
      </c>
      <c r="I189" s="80" t="n">
        <v>4590</v>
      </c>
      <c r="J189" s="80" t="n">
        <v>8850</v>
      </c>
      <c r="K189" s="80" t="n">
        <v>4500</v>
      </c>
      <c r="L189" s="80" t="n">
        <v>8100</v>
      </c>
      <c r="M189" s="81" t="n">
        <v>4725</v>
      </c>
      <c r="N189" s="81" t="n">
        <v>10125</v>
      </c>
      <c r="O189" s="81" t="n">
        <v>4950</v>
      </c>
      <c r="P189" s="81" t="n">
        <v>9750</v>
      </c>
      <c r="Q189" s="82" t="n">
        <v>5850</v>
      </c>
      <c r="R189" s="82" t="n">
        <v>11625</v>
      </c>
      <c r="S189" s="78" t="inlineStr">
        <is>
          <t>-</t>
        </is>
      </c>
      <c r="T189" s="78" t="inlineStr">
        <is>
          <t>-</t>
        </is>
      </c>
      <c r="U189" s="78" t="inlineStr">
        <is>
          <t>-</t>
        </is>
      </c>
      <c r="V189" s="132" t="inlineStr">
        <is>
          <t>—</t>
        </is>
      </c>
      <c r="W189" s="132" t="inlineStr">
        <is>
          <t>—</t>
        </is>
      </c>
      <c r="X189" s="132" t="inlineStr">
        <is>
          <t>—</t>
        </is>
      </c>
      <c r="Y189" s="133" t="inlineStr">
        <is>
          <t>—</t>
        </is>
      </c>
      <c r="Z189" s="132" t="inlineStr">
        <is>
          <t>—</t>
        </is>
      </c>
      <c r="AA189" s="134" t="inlineStr">
        <is>
          <t>—</t>
        </is>
      </c>
      <c r="AB189" s="134" t="inlineStr">
        <is>
          <t>—</t>
        </is>
      </c>
      <c r="AC189" s="132" t="inlineStr">
        <is>
          <t>—</t>
        </is>
      </c>
      <c r="AD189" s="132" t="inlineStr">
        <is>
          <t>—</t>
        </is>
      </c>
      <c r="AE189" s="128">
        <f>AVERAGE(G189,H189)</f>
        <v/>
      </c>
      <c r="AF189" s="129" t="inlineStr">
        <is>
          <t>No bidder data; SME only</t>
        </is>
      </c>
      <c r="AG189" s="130" t="inlineStr">
        <is>
          <t>no match</t>
        </is>
      </c>
      <c r="AH189" s="127">
        <f>IFERROR((AB189-AE189)/AE189,"—")</f>
        <v/>
      </c>
      <c r="AI189" s="127">
        <f>IFERROR((S189-AE189)/AE189,"—")</f>
        <v/>
      </c>
      <c r="AJ189" s="131" t="inlineStr">
        <is>
          <t>—</t>
        </is>
      </c>
    </row>
    <row r="190" ht="27.75" customHeight="1" s="56">
      <c r="A190" s="78" t="n"/>
      <c r="B190" s="78" t="inlineStr">
        <is>
          <t>BR-60-003</t>
        </is>
      </c>
      <c r="C190" s="59" t="inlineStr">
        <is>
          <t>Mine haul road bridge 30-50m - S+I</t>
        </is>
      </c>
      <c r="D190" s="78" t="inlineStr">
        <is>
          <t>m2 deck</t>
        </is>
      </c>
      <c r="E190" s="79" t="n">
        <v>5980</v>
      </c>
      <c r="F190" s="79" t="n">
        <v>11550</v>
      </c>
      <c r="G190" s="79" t="n">
        <v>5720</v>
      </c>
      <c r="H190" s="79" t="n">
        <v>11220</v>
      </c>
      <c r="I190" s="80" t="n">
        <v>6630</v>
      </c>
      <c r="J190" s="80" t="n">
        <v>12980</v>
      </c>
      <c r="K190" s="80" t="n">
        <v>6500</v>
      </c>
      <c r="L190" s="80" t="n">
        <v>11880</v>
      </c>
      <c r="M190" s="81" t="n">
        <v>6825</v>
      </c>
      <c r="N190" s="81" t="n">
        <v>14850</v>
      </c>
      <c r="O190" s="81" t="n">
        <v>7150</v>
      </c>
      <c r="P190" s="81" t="n">
        <v>14300</v>
      </c>
      <c r="Q190" s="82" t="n">
        <v>8450</v>
      </c>
      <c r="R190" s="82" t="n">
        <v>17050</v>
      </c>
      <c r="S190" s="83" t="n">
        <v>26</v>
      </c>
      <c r="T190" s="78" t="inlineStr">
        <is>
          <t>-</t>
        </is>
      </c>
      <c r="U190" s="78" t="inlineStr">
        <is>
          <t>-</t>
        </is>
      </c>
      <c r="V190" s="132" t="inlineStr">
        <is>
          <t>—</t>
        </is>
      </c>
      <c r="W190" s="132" t="inlineStr">
        <is>
          <t>—</t>
        </is>
      </c>
      <c r="X190" s="132" t="inlineStr">
        <is>
          <t>—</t>
        </is>
      </c>
      <c r="Y190" s="133" t="inlineStr">
        <is>
          <t>—</t>
        </is>
      </c>
      <c r="Z190" s="132" t="inlineStr">
        <is>
          <t>—</t>
        </is>
      </c>
      <c r="AA190" s="134" t="inlineStr">
        <is>
          <t>—</t>
        </is>
      </c>
      <c r="AB190" s="134" t="inlineStr">
        <is>
          <t>—</t>
        </is>
      </c>
      <c r="AC190" s="132" t="inlineStr">
        <is>
          <t>—</t>
        </is>
      </c>
      <c r="AD190" s="132" t="inlineStr">
        <is>
          <t>—</t>
        </is>
      </c>
      <c r="AE190" s="128">
        <f>AVERAGE(G190,H190)</f>
        <v/>
      </c>
      <c r="AF190" s="129" t="inlineStr">
        <is>
          <t>No bidder data; SME only</t>
        </is>
      </c>
      <c r="AG190" s="130" t="inlineStr">
        <is>
          <t>no match</t>
        </is>
      </c>
      <c r="AH190" s="127">
        <f>IFERROR((AB190-AE190)/AE190,"—")</f>
        <v/>
      </c>
      <c r="AI190" s="127">
        <f>IFERROR((S190-AE190)/AE190,"—")</f>
        <v/>
      </c>
      <c r="AJ190" s="131" t="inlineStr">
        <is>
          <t>—</t>
        </is>
      </c>
    </row>
    <row r="191" ht="27.75" customHeight="1" s="56">
      <c r="A191" s="78" t="n"/>
      <c r="B191" s="78" t="inlineStr">
        <is>
          <t>BR-60-001</t>
        </is>
      </c>
      <c r="C191" s="59" t="inlineStr">
        <is>
          <t>Modular steel bridge ≤20m span - S+I</t>
        </is>
      </c>
      <c r="D191" s="78" t="inlineStr">
        <is>
          <t>ea</t>
        </is>
      </c>
      <c r="E191" s="79" t="n">
        <v>165600</v>
      </c>
      <c r="F191" s="79" t="n">
        <v>399000</v>
      </c>
      <c r="G191" s="79" t="n">
        <v>158400</v>
      </c>
      <c r="H191" s="79" t="n">
        <v>387600</v>
      </c>
      <c r="I191" s="80" t="n">
        <v>183600</v>
      </c>
      <c r="J191" s="80" t="n">
        <v>448400</v>
      </c>
      <c r="K191" s="80" t="n">
        <v>180000</v>
      </c>
      <c r="L191" s="80" t="n">
        <v>410400</v>
      </c>
      <c r="M191" s="81" t="n">
        <v>189000</v>
      </c>
      <c r="N191" s="81" t="n">
        <v>513000</v>
      </c>
      <c r="O191" s="81" t="n">
        <v>198000</v>
      </c>
      <c r="P191" s="81" t="n">
        <v>494000</v>
      </c>
      <c r="Q191" s="82" t="n">
        <v>234000</v>
      </c>
      <c r="R191" s="82" t="n">
        <v>589000</v>
      </c>
      <c r="S191" s="78" t="inlineStr">
        <is>
          <t>-</t>
        </is>
      </c>
      <c r="T191" s="78" t="inlineStr">
        <is>
          <t>-</t>
        </is>
      </c>
      <c r="U191" s="78" t="inlineStr">
        <is>
          <t>-</t>
        </is>
      </c>
      <c r="V191" s="132" t="inlineStr">
        <is>
          <t>—</t>
        </is>
      </c>
      <c r="W191" s="132" t="inlineStr">
        <is>
          <t>—</t>
        </is>
      </c>
      <c r="X191" s="132" t="inlineStr">
        <is>
          <t>—</t>
        </is>
      </c>
      <c r="Y191" s="133" t="inlineStr">
        <is>
          <t>—</t>
        </is>
      </c>
      <c r="Z191" s="132" t="inlineStr">
        <is>
          <t>—</t>
        </is>
      </c>
      <c r="AA191" s="134" t="inlineStr">
        <is>
          <t>—</t>
        </is>
      </c>
      <c r="AB191" s="134" t="inlineStr">
        <is>
          <t>—</t>
        </is>
      </c>
      <c r="AC191" s="132" t="inlineStr">
        <is>
          <t>—</t>
        </is>
      </c>
      <c r="AD191" s="132" t="inlineStr">
        <is>
          <t>—</t>
        </is>
      </c>
      <c r="AE191" s="128">
        <f>AVERAGE(G191,H191)</f>
        <v/>
      </c>
      <c r="AF191" s="129" t="inlineStr">
        <is>
          <t>No bidder data; SME only</t>
        </is>
      </c>
      <c r="AG191" s="130" t="inlineStr">
        <is>
          <t>no match</t>
        </is>
      </c>
      <c r="AH191" s="127">
        <f>IFERROR((AB191-AE191)/AE191,"—")</f>
        <v/>
      </c>
      <c r="AI191" s="127">
        <f>IFERROR((S191-AE191)/AE191,"—")</f>
        <v/>
      </c>
      <c r="AJ191" s="131" t="inlineStr">
        <is>
          <t>—</t>
        </is>
      </c>
    </row>
    <row r="192" ht="19.5" customHeight="1" s="56">
      <c r="A192" s="77" t="inlineStr">
        <is>
          <t>X. Power Line</t>
        </is>
      </c>
    </row>
    <row r="193" ht="27.75" customHeight="1" s="56">
      <c r="A193" s="78" t="n"/>
      <c r="B193" s="78" t="inlineStr">
        <is>
          <t>EL-70-003</t>
        </is>
      </c>
      <c r="C193" s="59" t="inlineStr">
        <is>
          <t>Distribution pole foundation</t>
        </is>
      </c>
      <c r="D193" s="78" t="inlineStr">
        <is>
          <t>ea</t>
        </is>
      </c>
      <c r="E193" s="79" t="n">
        <v>1702</v>
      </c>
      <c r="F193" s="79" t="n">
        <v>3675</v>
      </c>
      <c r="G193" s="79" t="n">
        <v>1628</v>
      </c>
      <c r="H193" s="79" t="n">
        <v>3570</v>
      </c>
      <c r="I193" s="80" t="n">
        <v>1887</v>
      </c>
      <c r="J193" s="80" t="n">
        <v>4130</v>
      </c>
      <c r="K193" s="80" t="n">
        <v>1850</v>
      </c>
      <c r="L193" s="80" t="n">
        <v>3780</v>
      </c>
      <c r="M193" s="81" t="n">
        <v>1942</v>
      </c>
      <c r="N193" s="81" t="n">
        <v>4725</v>
      </c>
      <c r="O193" s="81" t="n">
        <v>2035</v>
      </c>
      <c r="P193" s="81" t="n">
        <v>4550</v>
      </c>
      <c r="Q193" s="82" t="n">
        <v>2405</v>
      </c>
      <c r="R193" s="82" t="n">
        <v>5425</v>
      </c>
      <c r="S193" s="78" t="inlineStr">
        <is>
          <t>-</t>
        </is>
      </c>
      <c r="T193" s="78" t="inlineStr">
        <is>
          <t>-</t>
        </is>
      </c>
      <c r="U193" s="78" t="inlineStr">
        <is>
          <t>-</t>
        </is>
      </c>
      <c r="V193" s="132" t="inlineStr">
        <is>
          <t>—</t>
        </is>
      </c>
      <c r="W193" s="123" t="n">
        <v>4854.87</v>
      </c>
      <c r="X193" s="132" t="inlineStr">
        <is>
          <t>—</t>
        </is>
      </c>
      <c r="Y193" s="133" t="inlineStr">
        <is>
          <t>—</t>
        </is>
      </c>
      <c r="Z193" s="132" t="inlineStr">
        <is>
          <t>—</t>
        </is>
      </c>
      <c r="AA193" s="134" t="inlineStr">
        <is>
          <t>—</t>
        </is>
      </c>
      <c r="AB193" s="125">
        <f>MEDIAN(V193:Z193)</f>
        <v/>
      </c>
      <c r="AC193" s="132" t="inlineStr">
        <is>
          <t>—</t>
        </is>
      </c>
      <c r="AD193" s="132" t="inlineStr">
        <is>
          <t>—</t>
        </is>
      </c>
      <c r="AE193" s="128">
        <f>AVERAGE(G193,H193)</f>
        <v/>
      </c>
      <c r="AF193" s="129" t="inlineStr">
        <is>
          <t>Only 1/5 bidders priced — limited market signal</t>
        </is>
      </c>
      <c r="AG193" s="130" t="inlineStr">
        <is>
          <t>category-fallback</t>
        </is>
      </c>
      <c r="AH193" s="127">
        <f>IFERROR((AB193-AE193)/AE193,"—")</f>
        <v/>
      </c>
      <c r="AI193" s="127">
        <f>IFERROR((S193-AE193)/AE193,"—")</f>
        <v/>
      </c>
      <c r="AJ193" s="131" t="inlineStr">
        <is>
          <t>—</t>
        </is>
      </c>
    </row>
    <row r="194" ht="27.75" customHeight="1" s="56">
      <c r="A194" s="78" t="n"/>
      <c r="B194" s="78" t="inlineStr">
        <is>
          <t>EL-70-005</t>
        </is>
      </c>
      <c r="C194" s="59" t="inlineStr">
        <is>
          <t>Substation control building slab + foundation</t>
        </is>
      </c>
      <c r="D194" s="78" t="inlineStr">
        <is>
          <t>m2</t>
        </is>
      </c>
      <c r="E194" s="79" t="n">
        <v>262</v>
      </c>
      <c r="F194" s="79" t="n">
        <v>472</v>
      </c>
      <c r="G194" s="79" t="n">
        <v>251</v>
      </c>
      <c r="H194" s="79" t="n">
        <v>459</v>
      </c>
      <c r="I194" s="80" t="n">
        <v>291</v>
      </c>
      <c r="J194" s="80" t="n">
        <v>531</v>
      </c>
      <c r="K194" s="80" t="n">
        <v>285</v>
      </c>
      <c r="L194" s="80" t="n">
        <v>486</v>
      </c>
      <c r="M194" s="81" t="n">
        <v>299</v>
      </c>
      <c r="N194" s="81" t="n">
        <v>608</v>
      </c>
      <c r="O194" s="81" t="n">
        <v>314</v>
      </c>
      <c r="P194" s="81" t="n">
        <v>585</v>
      </c>
      <c r="Q194" s="82" t="n">
        <v>370</v>
      </c>
      <c r="R194" s="82" t="n">
        <v>698</v>
      </c>
      <c r="S194" s="83" t="n">
        <v>1500000</v>
      </c>
      <c r="T194" s="78" t="inlineStr">
        <is>
          <t>-</t>
        </is>
      </c>
      <c r="U194" s="78" t="inlineStr">
        <is>
          <t>-</t>
        </is>
      </c>
      <c r="V194" s="123" t="n">
        <v>2.65</v>
      </c>
      <c r="W194" s="123" t="n">
        <v>0.77</v>
      </c>
      <c r="X194" s="123" t="n">
        <v>2.52</v>
      </c>
      <c r="Y194" s="123" t="n">
        <v>2.3</v>
      </c>
      <c r="Z194" s="123" t="n">
        <v>20</v>
      </c>
      <c r="AA194" s="124">
        <f>MIN(V194:Z194)</f>
        <v/>
      </c>
      <c r="AB194" s="125">
        <f>MEDIAN(V194:Z194)</f>
        <v/>
      </c>
      <c r="AC194" s="126">
        <f>MAX(V194:Z194)</f>
        <v/>
      </c>
      <c r="AD194" s="127">
        <f>IFERROR((AC194-AA194)/AB194,"—")</f>
        <v/>
      </c>
      <c r="AE194" s="128">
        <f>AVERAGE(G194,H194)</f>
        <v/>
      </c>
      <c r="AF194" s="129" t="inlineStr">
        <is>
          <t>OK — sources align</t>
        </is>
      </c>
      <c r="AG194" s="130" t="inlineStr">
        <is>
          <t>category-fallback</t>
        </is>
      </c>
      <c r="AH194" s="127">
        <f>IFERROR((AB194-AE194)/AE194,"—")</f>
        <v/>
      </c>
      <c r="AI194" s="127">
        <f>IFERROR((S194-AE194)/AE194,"—")</f>
        <v/>
      </c>
      <c r="AJ194" s="131">
        <f>IF(AD194&gt;1, "⚠ HIGH SPREAD", IF(ABS(AH194)&gt;0.5, "⚠ DELTA", "OK"))</f>
        <v/>
      </c>
    </row>
    <row r="195" ht="27.75" customHeight="1" s="56">
      <c r="A195" s="78" t="n"/>
      <c r="B195" s="78" t="inlineStr">
        <is>
          <t>EL-70-006</t>
        </is>
      </c>
      <c r="C195" s="59" t="inlineStr">
        <is>
          <t>Substation grounding grid - copper mat</t>
        </is>
      </c>
      <c r="D195" s="78" t="inlineStr">
        <is>
          <t>m2</t>
        </is>
      </c>
      <c r="E195" s="79" t="n">
        <v>17</v>
      </c>
      <c r="F195" s="79" t="n">
        <v>34</v>
      </c>
      <c r="G195" s="79" t="n">
        <v>16</v>
      </c>
      <c r="H195" s="79" t="n">
        <v>33</v>
      </c>
      <c r="I195" s="80" t="n">
        <v>18</v>
      </c>
      <c r="J195" s="80" t="n">
        <v>38</v>
      </c>
      <c r="K195" s="80" t="n">
        <v>18</v>
      </c>
      <c r="L195" s="80" t="n">
        <v>35</v>
      </c>
      <c r="M195" s="81" t="n">
        <v>19</v>
      </c>
      <c r="N195" s="81" t="n">
        <v>43</v>
      </c>
      <c r="O195" s="81" t="n">
        <v>20</v>
      </c>
      <c r="P195" s="81" t="n">
        <v>42</v>
      </c>
      <c r="Q195" s="82" t="n">
        <v>23</v>
      </c>
      <c r="R195" s="82" t="n">
        <v>50</v>
      </c>
      <c r="S195" s="78" t="inlineStr">
        <is>
          <t>-</t>
        </is>
      </c>
      <c r="T195" s="78" t="inlineStr">
        <is>
          <t>-</t>
        </is>
      </c>
      <c r="U195" s="78" t="inlineStr">
        <is>
          <t>-</t>
        </is>
      </c>
      <c r="V195" s="132" t="inlineStr">
        <is>
          <t>—</t>
        </is>
      </c>
      <c r="W195" s="132" t="inlineStr">
        <is>
          <t>—</t>
        </is>
      </c>
      <c r="X195" s="132" t="inlineStr">
        <is>
          <t>—</t>
        </is>
      </c>
      <c r="Y195" s="133" t="inlineStr">
        <is>
          <t>—</t>
        </is>
      </c>
      <c r="Z195" s="132" t="inlineStr">
        <is>
          <t>—</t>
        </is>
      </c>
      <c r="AA195" s="134" t="inlineStr">
        <is>
          <t>—</t>
        </is>
      </c>
      <c r="AB195" s="134" t="inlineStr">
        <is>
          <t>—</t>
        </is>
      </c>
      <c r="AC195" s="132" t="inlineStr">
        <is>
          <t>—</t>
        </is>
      </c>
      <c r="AD195" s="132" t="inlineStr">
        <is>
          <t>—</t>
        </is>
      </c>
      <c r="AE195" s="128">
        <f>AVERAGE(G195,H195)</f>
        <v/>
      </c>
      <c r="AF195" s="129" t="inlineStr">
        <is>
          <t>No bidder data; SME only</t>
        </is>
      </c>
      <c r="AG195" s="130" t="inlineStr">
        <is>
          <t>no match</t>
        </is>
      </c>
      <c r="AH195" s="127">
        <f>IFERROR((AB195-AE195)/AE195,"—")</f>
        <v/>
      </c>
      <c r="AI195" s="127">
        <f>IFERROR((S195-AE195)/AE195,"—")</f>
        <v/>
      </c>
      <c r="AJ195" s="131" t="inlineStr">
        <is>
          <t>—</t>
        </is>
      </c>
    </row>
    <row r="196" ht="27.75" customHeight="1" s="56">
      <c r="A196" s="78" t="n"/>
      <c r="B196" s="78" t="inlineStr">
        <is>
          <t>EL-70-004</t>
        </is>
      </c>
      <c r="C196" s="59" t="inlineStr">
        <is>
          <t>Substation pad - granular + crushed surface</t>
        </is>
      </c>
      <c r="D196" s="78" t="inlineStr">
        <is>
          <t>m2</t>
        </is>
      </c>
      <c r="E196" s="79" t="n">
        <v>51</v>
      </c>
      <c r="F196" s="79" t="n">
        <v>94</v>
      </c>
      <c r="G196" s="79" t="n">
        <v>48</v>
      </c>
      <c r="H196" s="79" t="n">
        <v>92</v>
      </c>
      <c r="I196" s="80" t="n">
        <v>56</v>
      </c>
      <c r="J196" s="80" t="n">
        <v>106</v>
      </c>
      <c r="K196" s="80" t="n">
        <v>55</v>
      </c>
      <c r="L196" s="80" t="n">
        <v>97</v>
      </c>
      <c r="M196" s="81" t="n">
        <v>58</v>
      </c>
      <c r="N196" s="81" t="n">
        <v>122</v>
      </c>
      <c r="O196" s="81" t="n">
        <v>61</v>
      </c>
      <c r="P196" s="81" t="n">
        <v>117</v>
      </c>
      <c r="Q196" s="82" t="n">
        <v>72</v>
      </c>
      <c r="R196" s="82" t="n">
        <v>140</v>
      </c>
      <c r="S196" s="78" t="inlineStr">
        <is>
          <t>-</t>
        </is>
      </c>
      <c r="T196" s="78" t="inlineStr">
        <is>
          <t>-</t>
        </is>
      </c>
      <c r="U196" s="78" t="inlineStr">
        <is>
          <t>-</t>
        </is>
      </c>
      <c r="V196" s="123" t="n">
        <v>30.6</v>
      </c>
      <c r="W196" s="123" t="n">
        <v>36.27</v>
      </c>
      <c r="X196" s="123" t="n">
        <v>19.18</v>
      </c>
      <c r="Y196" s="123" t="n">
        <v>2.3</v>
      </c>
      <c r="Z196" s="123" t="n">
        <v>20</v>
      </c>
      <c r="AA196" s="124">
        <f>MIN(V196:Z196)</f>
        <v/>
      </c>
      <c r="AB196" s="125">
        <f>MEDIAN(V196:Z196)</f>
        <v/>
      </c>
      <c r="AC196" s="126">
        <f>MAX(V196:Z196)</f>
        <v/>
      </c>
      <c r="AD196" s="127">
        <f>IFERROR((AC196-AA196)/AB196,"—")</f>
        <v/>
      </c>
      <c r="AE196" s="128">
        <f>AVERAGE(G196,H196)</f>
        <v/>
      </c>
      <c r="AF196" s="129" t="inlineStr">
        <is>
          <t>OK — sources align</t>
        </is>
      </c>
      <c r="AG196" s="130" t="inlineStr">
        <is>
          <t>category-fallback</t>
        </is>
      </c>
      <c r="AH196" s="127">
        <f>IFERROR((AB196-AE196)/AE196,"—")</f>
        <v/>
      </c>
      <c r="AI196" s="127">
        <f>IFERROR((S196-AE196)/AE196,"—")</f>
        <v/>
      </c>
      <c r="AJ196" s="131">
        <f>IF(AD196&gt;1, "⚠ HIGH SPREAD", IF(ABS(AH196)&gt;0.5, "⚠ DELTA", "OK"))</f>
        <v/>
      </c>
    </row>
    <row r="197" ht="27.75" customHeight="1" s="56">
      <c r="A197" s="78" t="n"/>
      <c r="B197" s="78" t="inlineStr">
        <is>
          <t>EL-70-001</t>
        </is>
      </c>
      <c r="C197" s="59" t="inlineStr">
        <is>
          <t>Tower foundation 138 kV - pier</t>
        </is>
      </c>
      <c r="D197" s="78" t="inlineStr">
        <is>
          <t>ea</t>
        </is>
      </c>
      <c r="E197" s="79" t="n">
        <v>16560</v>
      </c>
      <c r="F197" s="79" t="n">
        <v>33600</v>
      </c>
      <c r="G197" s="79" t="n">
        <v>15840</v>
      </c>
      <c r="H197" s="79" t="n">
        <v>32640</v>
      </c>
      <c r="I197" s="80" t="n">
        <v>18360</v>
      </c>
      <c r="J197" s="80" t="n">
        <v>37760</v>
      </c>
      <c r="K197" s="80" t="n">
        <v>18000</v>
      </c>
      <c r="L197" s="80" t="n">
        <v>34560</v>
      </c>
      <c r="M197" s="81" t="n">
        <v>18900</v>
      </c>
      <c r="N197" s="81" t="n">
        <v>43200</v>
      </c>
      <c r="O197" s="81" t="n">
        <v>19800</v>
      </c>
      <c r="P197" s="81" t="n">
        <v>41600</v>
      </c>
      <c r="Q197" s="82" t="n">
        <v>23400</v>
      </c>
      <c r="R197" s="82" t="n">
        <v>49600</v>
      </c>
      <c r="S197" s="78" t="inlineStr">
        <is>
          <t>-</t>
        </is>
      </c>
      <c r="T197" s="78" t="inlineStr">
        <is>
          <t>-</t>
        </is>
      </c>
      <c r="U197" s="78" t="inlineStr">
        <is>
          <t>-</t>
        </is>
      </c>
      <c r="V197" s="132" t="inlineStr">
        <is>
          <t>—</t>
        </is>
      </c>
      <c r="W197" s="123" t="n">
        <v>4854.87</v>
      </c>
      <c r="X197" s="132" t="inlineStr">
        <is>
          <t>—</t>
        </is>
      </c>
      <c r="Y197" s="133" t="inlineStr">
        <is>
          <t>—</t>
        </is>
      </c>
      <c r="Z197" s="132" t="inlineStr">
        <is>
          <t>—</t>
        </is>
      </c>
      <c r="AA197" s="134" t="inlineStr">
        <is>
          <t>—</t>
        </is>
      </c>
      <c r="AB197" s="125">
        <f>MEDIAN(V197:Z197)</f>
        <v/>
      </c>
      <c r="AC197" s="132" t="inlineStr">
        <is>
          <t>—</t>
        </is>
      </c>
      <c r="AD197" s="132" t="inlineStr">
        <is>
          <t>—</t>
        </is>
      </c>
      <c r="AE197" s="128">
        <f>AVERAGE(G197,H197)</f>
        <v/>
      </c>
      <c r="AF197" s="129" t="inlineStr">
        <is>
          <t>Only 1/5 bidders priced — limited market signal</t>
        </is>
      </c>
      <c r="AG197" s="130" t="inlineStr">
        <is>
          <t>category-fallback</t>
        </is>
      </c>
      <c r="AH197" s="127">
        <f>IFERROR((AB197-AE197)/AE197,"—")</f>
        <v/>
      </c>
      <c r="AI197" s="127">
        <f>IFERROR((S197-AE197)/AE197,"—")</f>
        <v/>
      </c>
      <c r="AJ197" s="131" t="inlineStr">
        <is>
          <t>—</t>
        </is>
      </c>
    </row>
    <row r="198" ht="27.75" customHeight="1" s="56">
      <c r="A198" s="78" t="n"/>
      <c r="B198" s="78" t="inlineStr">
        <is>
          <t>EL-70-002</t>
        </is>
      </c>
      <c r="C198" s="59" t="inlineStr">
        <is>
          <t>Tower foundation 240 kV - pier</t>
        </is>
      </c>
      <c r="D198" s="78" t="inlineStr">
        <is>
          <t>ea</t>
        </is>
      </c>
      <c r="E198" s="79" t="n">
        <v>23920</v>
      </c>
      <c r="F198" s="79" t="n">
        <v>50400</v>
      </c>
      <c r="G198" s="79" t="n">
        <v>22880</v>
      </c>
      <c r="H198" s="79" t="n">
        <v>48960</v>
      </c>
      <c r="I198" s="80" t="n">
        <v>26520</v>
      </c>
      <c r="J198" s="80" t="n">
        <v>56640</v>
      </c>
      <c r="K198" s="80" t="n">
        <v>26000</v>
      </c>
      <c r="L198" s="80" t="n">
        <v>51840</v>
      </c>
      <c r="M198" s="81" t="n">
        <v>27300</v>
      </c>
      <c r="N198" s="81" t="n">
        <v>64800</v>
      </c>
      <c r="O198" s="81" t="n">
        <v>28600</v>
      </c>
      <c r="P198" s="81" t="n">
        <v>62400</v>
      </c>
      <c r="Q198" s="82" t="n">
        <v>33800</v>
      </c>
      <c r="R198" s="82" t="n">
        <v>74400</v>
      </c>
      <c r="S198" s="78" t="inlineStr">
        <is>
          <t>-</t>
        </is>
      </c>
      <c r="T198" s="78" t="inlineStr">
        <is>
          <t>-</t>
        </is>
      </c>
      <c r="U198" s="78" t="inlineStr">
        <is>
          <t>-</t>
        </is>
      </c>
      <c r="V198" s="132" t="inlineStr">
        <is>
          <t>—</t>
        </is>
      </c>
      <c r="W198" s="123" t="n">
        <v>4854.87</v>
      </c>
      <c r="X198" s="132" t="inlineStr">
        <is>
          <t>—</t>
        </is>
      </c>
      <c r="Y198" s="133" t="inlineStr">
        <is>
          <t>—</t>
        </is>
      </c>
      <c r="Z198" s="132" t="inlineStr">
        <is>
          <t>—</t>
        </is>
      </c>
      <c r="AA198" s="134" t="inlineStr">
        <is>
          <t>—</t>
        </is>
      </c>
      <c r="AB198" s="125">
        <f>MEDIAN(V198:Z198)</f>
        <v/>
      </c>
      <c r="AC198" s="132" t="inlineStr">
        <is>
          <t>—</t>
        </is>
      </c>
      <c r="AD198" s="132" t="inlineStr">
        <is>
          <t>—</t>
        </is>
      </c>
      <c r="AE198" s="128">
        <f>AVERAGE(G198,H198)</f>
        <v/>
      </c>
      <c r="AF198" s="129" t="inlineStr">
        <is>
          <t>Only 1/5 bidders priced — limited market signal</t>
        </is>
      </c>
      <c r="AG198" s="130" t="inlineStr">
        <is>
          <t>category-fallback</t>
        </is>
      </c>
      <c r="AH198" s="127">
        <f>IFERROR((AB198-AE198)/AE198,"—")</f>
        <v/>
      </c>
      <c r="AI198" s="127">
        <f>IFERROR((S198-AE198)/AE198,"—")</f>
        <v/>
      </c>
      <c r="AJ198" s="131" t="inlineStr">
        <is>
          <t>—</t>
        </is>
      </c>
    </row>
    <row r="199" ht="27.75" customHeight="1" s="56">
      <c r="A199" s="78" t="n"/>
      <c r="B199" s="78" t="inlineStr">
        <is>
          <t>EL-70-007</t>
        </is>
      </c>
      <c r="C199" s="59" t="inlineStr">
        <is>
          <t>Transmission line ROW clearing 50m per km</t>
        </is>
      </c>
      <c r="D199" s="78" t="inlineStr">
        <is>
          <t>km</t>
        </is>
      </c>
      <c r="E199" s="79" t="n">
        <v>32200</v>
      </c>
      <c r="F199" s="79" t="n">
        <v>78750</v>
      </c>
      <c r="G199" s="79" t="n">
        <v>30800</v>
      </c>
      <c r="H199" s="79" t="n">
        <v>76500</v>
      </c>
      <c r="I199" s="80" t="n">
        <v>35700</v>
      </c>
      <c r="J199" s="80" t="n">
        <v>88500</v>
      </c>
      <c r="K199" s="80" t="n">
        <v>35000</v>
      </c>
      <c r="L199" s="80" t="n">
        <v>81000</v>
      </c>
      <c r="M199" s="81" t="n">
        <v>36750</v>
      </c>
      <c r="N199" s="81" t="n">
        <v>101250</v>
      </c>
      <c r="O199" s="81" t="n">
        <v>38500</v>
      </c>
      <c r="P199" s="81" t="n">
        <v>97500</v>
      </c>
      <c r="Q199" s="82" t="n">
        <v>45500</v>
      </c>
      <c r="R199" s="82" t="n">
        <v>116250</v>
      </c>
      <c r="S199" s="78" t="inlineStr">
        <is>
          <t>-</t>
        </is>
      </c>
      <c r="T199" s="78" t="inlineStr">
        <is>
          <t>-</t>
        </is>
      </c>
      <c r="U199" s="78" t="inlineStr">
        <is>
          <t>-</t>
        </is>
      </c>
      <c r="V199" s="132" t="inlineStr">
        <is>
          <t>—</t>
        </is>
      </c>
      <c r="W199" s="132" t="inlineStr">
        <is>
          <t>—</t>
        </is>
      </c>
      <c r="X199" s="132" t="inlineStr">
        <is>
          <t>—</t>
        </is>
      </c>
      <c r="Y199" s="133" t="inlineStr">
        <is>
          <t>—</t>
        </is>
      </c>
      <c r="Z199" s="132" t="inlineStr">
        <is>
          <t>—</t>
        </is>
      </c>
      <c r="AA199" s="134" t="inlineStr">
        <is>
          <t>—</t>
        </is>
      </c>
      <c r="AB199" s="134" t="inlineStr">
        <is>
          <t>—</t>
        </is>
      </c>
      <c r="AC199" s="132" t="inlineStr">
        <is>
          <t>—</t>
        </is>
      </c>
      <c r="AD199" s="132" t="inlineStr">
        <is>
          <t>—</t>
        </is>
      </c>
      <c r="AE199" s="128">
        <f>AVERAGE(G199,H199)</f>
        <v/>
      </c>
      <c r="AF199" s="129" t="inlineStr">
        <is>
          <t>No bidder data; SME only</t>
        </is>
      </c>
      <c r="AG199" s="130" t="inlineStr">
        <is>
          <t>no match</t>
        </is>
      </c>
      <c r="AH199" s="127">
        <f>IFERROR((AB199-AE199)/AE199,"—")</f>
        <v/>
      </c>
      <c r="AI199" s="127">
        <f>IFERROR((S199-AE199)/AE199,"—")</f>
        <v/>
      </c>
      <c r="AJ199" s="131" t="inlineStr">
        <is>
          <t>—</t>
        </is>
      </c>
    </row>
    <row r="200" ht="19.5" customHeight="1" s="56">
      <c r="A200" s="77" t="inlineStr">
        <is>
          <t>Y. Hydraulic</t>
        </is>
      </c>
    </row>
    <row r="201" ht="27.75" customHeight="1" s="56">
      <c r="A201" s="78" t="n"/>
      <c r="B201" s="78" t="inlineStr">
        <is>
          <t>HY-80-001</t>
        </is>
      </c>
      <c r="C201" s="59" t="inlineStr">
        <is>
          <t>Diversion channel excavation common soil - trapezoidal</t>
        </is>
      </c>
      <c r="D201" s="78" t="inlineStr">
        <is>
          <t>m3</t>
        </is>
      </c>
      <c r="E201" s="79" t="n">
        <v>17</v>
      </c>
      <c r="F201" s="79" t="n">
        <v>34</v>
      </c>
      <c r="G201" s="79" t="n">
        <v>16</v>
      </c>
      <c r="H201" s="79" t="n">
        <v>33</v>
      </c>
      <c r="I201" s="80" t="n">
        <v>18</v>
      </c>
      <c r="J201" s="80" t="n">
        <v>38</v>
      </c>
      <c r="K201" s="80" t="n">
        <v>18</v>
      </c>
      <c r="L201" s="80" t="n">
        <v>35</v>
      </c>
      <c r="M201" s="81" t="n">
        <v>19</v>
      </c>
      <c r="N201" s="81" t="n">
        <v>43</v>
      </c>
      <c r="O201" s="81" t="n">
        <v>20</v>
      </c>
      <c r="P201" s="81" t="n">
        <v>42</v>
      </c>
      <c r="Q201" s="82" t="n">
        <v>23</v>
      </c>
      <c r="R201" s="82" t="n">
        <v>50</v>
      </c>
      <c r="S201" s="83" t="n">
        <v>8</v>
      </c>
      <c r="T201" s="83" t="n">
        <v>8.199999999999999</v>
      </c>
      <c r="U201" s="78" t="inlineStr">
        <is>
          <t>-</t>
        </is>
      </c>
      <c r="V201" s="123" t="n">
        <v>9.949999999999999</v>
      </c>
      <c r="W201" s="123" t="n">
        <v>14.4</v>
      </c>
      <c r="X201" s="123" t="n">
        <v>9.44</v>
      </c>
      <c r="Y201" s="123" t="n">
        <v>10.7</v>
      </c>
      <c r="Z201" s="123" t="n">
        <v>10.5</v>
      </c>
      <c r="AA201" s="124">
        <f>MIN(V201:Z201)</f>
        <v/>
      </c>
      <c r="AB201" s="125">
        <f>MEDIAN(V201:Z201)</f>
        <v/>
      </c>
      <c r="AC201" s="126">
        <f>MAX(V201:Z201)</f>
        <v/>
      </c>
      <c r="AD201" s="127">
        <f>IFERROR((AC201-AA201)/AB201,"—")</f>
        <v/>
      </c>
      <c r="AE201" s="128">
        <f>AVERAGE(G201,H201)</f>
        <v/>
      </c>
      <c r="AF201" s="129" t="inlineStr">
        <is>
          <t>OK — sources align</t>
        </is>
      </c>
      <c r="AG201" s="130" t="inlineStr">
        <is>
          <t>keyword-matched</t>
        </is>
      </c>
      <c r="AH201" s="127">
        <f>IFERROR((AB201-AE201)/AE201,"—")</f>
        <v/>
      </c>
      <c r="AI201" s="127">
        <f>IFERROR((S201-AE201)/AE201,"—")</f>
        <v/>
      </c>
      <c r="AJ201" s="131">
        <f>IF(AD201&gt;1, "⚠ HIGH SPREAD", IF(ABS(AH201)&gt;0.5, "⚠ DELTA", "OK"))</f>
        <v/>
      </c>
    </row>
    <row r="202" ht="27.75" customHeight="1" s="56">
      <c r="A202" s="78" t="n"/>
      <c r="B202" s="78" t="inlineStr">
        <is>
          <t>HY-80-002</t>
        </is>
      </c>
      <c r="C202" s="59" t="inlineStr">
        <is>
          <t>Diversion channel - riprap D50 150mm lining</t>
        </is>
      </c>
      <c r="D202" s="78" t="inlineStr">
        <is>
          <t>m3</t>
        </is>
      </c>
      <c r="E202" s="79" t="n">
        <v>78</v>
      </c>
      <c r="F202" s="79" t="n">
        <v>147</v>
      </c>
      <c r="G202" s="79" t="n">
        <v>75</v>
      </c>
      <c r="H202" s="79" t="n">
        <v>143</v>
      </c>
      <c r="I202" s="80" t="n">
        <v>87</v>
      </c>
      <c r="J202" s="80" t="n">
        <v>165</v>
      </c>
      <c r="K202" s="80" t="n">
        <v>85</v>
      </c>
      <c r="L202" s="80" t="n">
        <v>151</v>
      </c>
      <c r="M202" s="81" t="n">
        <v>89</v>
      </c>
      <c r="N202" s="81" t="n">
        <v>189</v>
      </c>
      <c r="O202" s="81" t="n">
        <v>94</v>
      </c>
      <c r="P202" s="81" t="n">
        <v>182</v>
      </c>
      <c r="Q202" s="82" t="n">
        <v>110</v>
      </c>
      <c r="R202" s="82" t="n">
        <v>217</v>
      </c>
      <c r="S202" s="78" t="inlineStr">
        <is>
          <t>-</t>
        </is>
      </c>
      <c r="T202" s="83" t="n">
        <v>313.41</v>
      </c>
      <c r="U202" s="78" t="inlineStr">
        <is>
          <t>-</t>
        </is>
      </c>
      <c r="V202" s="123" t="n">
        <v>66.45</v>
      </c>
      <c r="W202" s="123" t="n">
        <v>70.09999999999999</v>
      </c>
      <c r="X202" s="123" t="n">
        <v>45.33</v>
      </c>
      <c r="Y202" s="123" t="n">
        <v>12.44</v>
      </c>
      <c r="Z202" s="123" t="n">
        <v>60</v>
      </c>
      <c r="AA202" s="124">
        <f>MIN(V202:Z202)</f>
        <v/>
      </c>
      <c r="AB202" s="125">
        <f>MEDIAN(V202:Z202)</f>
        <v/>
      </c>
      <c r="AC202" s="126">
        <f>MAX(V202:Z202)</f>
        <v/>
      </c>
      <c r="AD202" s="127">
        <f>IFERROR((AC202-AA202)/AB202,"—")</f>
        <v/>
      </c>
      <c r="AE202" s="128">
        <f>AVERAGE(G202,H202)</f>
        <v/>
      </c>
      <c r="AF202" s="129" t="inlineStr">
        <is>
          <t>OK — sources align</t>
        </is>
      </c>
      <c r="AG202" s="130" t="inlineStr">
        <is>
          <t>size-matched</t>
        </is>
      </c>
      <c r="AH202" s="127">
        <f>IFERROR((AB202-AE202)/AE202,"—")</f>
        <v/>
      </c>
      <c r="AI202" s="127">
        <f>IFERROR((S202-AE202)/AE202,"—")</f>
        <v/>
      </c>
      <c r="AJ202" s="131">
        <f>IF(AD202&gt;1, "⚠ HIGH SPREAD", IF(ABS(AH202)&gt;0.5, "⚠ DELTA", "OK"))</f>
        <v/>
      </c>
    </row>
    <row r="203" ht="27.75" customHeight="1" s="56">
      <c r="A203" s="78" t="n"/>
      <c r="B203" s="78" t="inlineStr">
        <is>
          <t>HY-80-003</t>
        </is>
      </c>
      <c r="C203" s="59" t="inlineStr">
        <is>
          <t>Diversion channel - riprap D50 300mm lining</t>
        </is>
      </c>
      <c r="D203" s="78" t="inlineStr">
        <is>
          <t>m3</t>
        </is>
      </c>
      <c r="E203" s="79" t="n">
        <v>97</v>
      </c>
      <c r="F203" s="79" t="n">
        <v>184</v>
      </c>
      <c r="G203" s="79" t="n">
        <v>92</v>
      </c>
      <c r="H203" s="79" t="n">
        <v>178</v>
      </c>
      <c r="I203" s="80" t="n">
        <v>107</v>
      </c>
      <c r="J203" s="80" t="n">
        <v>206</v>
      </c>
      <c r="K203" s="80" t="n">
        <v>105</v>
      </c>
      <c r="L203" s="80" t="n">
        <v>189</v>
      </c>
      <c r="M203" s="81" t="n">
        <v>110</v>
      </c>
      <c r="N203" s="81" t="n">
        <v>236</v>
      </c>
      <c r="O203" s="81" t="n">
        <v>116</v>
      </c>
      <c r="P203" s="81" t="n">
        <v>228</v>
      </c>
      <c r="Q203" s="82" t="n">
        <v>136</v>
      </c>
      <c r="R203" s="82" t="n">
        <v>271</v>
      </c>
      <c r="S203" s="78" t="inlineStr">
        <is>
          <t>-</t>
        </is>
      </c>
      <c r="T203" s="83" t="n">
        <v>265.82</v>
      </c>
      <c r="U203" s="78" t="inlineStr">
        <is>
          <t>-</t>
        </is>
      </c>
      <c r="V203" s="123" t="n">
        <v>33.23</v>
      </c>
      <c r="W203" s="123" t="n">
        <v>61.02</v>
      </c>
      <c r="X203" s="123" t="n">
        <v>27.5</v>
      </c>
      <c r="Y203" s="123" t="n">
        <v>12.44</v>
      </c>
      <c r="Z203" s="123" t="n">
        <v>40</v>
      </c>
      <c r="AA203" s="124">
        <f>MIN(V203:Z203)</f>
        <v/>
      </c>
      <c r="AB203" s="125">
        <f>MEDIAN(V203:Z203)</f>
        <v/>
      </c>
      <c r="AC203" s="126">
        <f>MAX(V203:Z203)</f>
        <v/>
      </c>
      <c r="AD203" s="127">
        <f>IFERROR((AC203-AA203)/AB203,"—")</f>
        <v/>
      </c>
      <c r="AE203" s="128">
        <f>AVERAGE(G203,H203)</f>
        <v/>
      </c>
      <c r="AF203" s="129" t="inlineStr">
        <is>
          <t>OK — sources align</t>
        </is>
      </c>
      <c r="AG203" s="130" t="inlineStr">
        <is>
          <t>size-matched</t>
        </is>
      </c>
      <c r="AH203" s="127">
        <f>IFERROR((AB203-AE203)/AE203,"—")</f>
        <v/>
      </c>
      <c r="AI203" s="127">
        <f>IFERROR((S203-AE203)/AE203,"—")</f>
        <v/>
      </c>
      <c r="AJ203" s="131">
        <f>IF(AD203&gt;1, "⚠ HIGH SPREAD", IF(ABS(AH203)&gt;0.5, "⚠ DELTA", "OK"))</f>
        <v/>
      </c>
    </row>
    <row r="204" ht="27.75" customHeight="1" s="56">
      <c r="A204" s="78" t="n"/>
      <c r="B204" s="78" t="inlineStr">
        <is>
          <t>HY-80-004</t>
        </is>
      </c>
      <c r="C204" s="59" t="inlineStr">
        <is>
          <t>Diversion channel - riprap D50 600mm lining</t>
        </is>
      </c>
      <c r="D204" s="78" t="inlineStr">
        <is>
          <t>m3</t>
        </is>
      </c>
      <c r="E204" s="79" t="n">
        <v>124</v>
      </c>
      <c r="F204" s="79" t="n">
        <v>231</v>
      </c>
      <c r="G204" s="79" t="n">
        <v>119</v>
      </c>
      <c r="H204" s="79" t="n">
        <v>224</v>
      </c>
      <c r="I204" s="80" t="n">
        <v>138</v>
      </c>
      <c r="J204" s="80" t="n">
        <v>260</v>
      </c>
      <c r="K204" s="80" t="n">
        <v>135</v>
      </c>
      <c r="L204" s="80" t="n">
        <v>238</v>
      </c>
      <c r="M204" s="81" t="n">
        <v>142</v>
      </c>
      <c r="N204" s="81" t="n">
        <v>297</v>
      </c>
      <c r="O204" s="81" t="n">
        <v>148</v>
      </c>
      <c r="P204" s="81" t="n">
        <v>286</v>
      </c>
      <c r="Q204" s="82" t="n">
        <v>176</v>
      </c>
      <c r="R204" s="82" t="n">
        <v>341</v>
      </c>
      <c r="S204" s="78" t="inlineStr">
        <is>
          <t>-</t>
        </is>
      </c>
      <c r="T204" s="78" t="inlineStr">
        <is>
          <t>-</t>
        </is>
      </c>
      <c r="U204" s="78" t="inlineStr">
        <is>
          <t>-</t>
        </is>
      </c>
      <c r="V204" s="123" t="n">
        <v>66.45</v>
      </c>
      <c r="W204" s="123" t="n">
        <v>85.97</v>
      </c>
      <c r="X204" s="123" t="n">
        <v>13.85</v>
      </c>
      <c r="Y204" s="123" t="n">
        <v>9.42</v>
      </c>
      <c r="Z204" s="123" t="n">
        <v>60</v>
      </c>
      <c r="AA204" s="124">
        <f>MIN(V204:Z204)</f>
        <v/>
      </c>
      <c r="AB204" s="125">
        <f>MEDIAN(V204:Z204)</f>
        <v/>
      </c>
      <c r="AC204" s="126">
        <f>MAX(V204:Z204)</f>
        <v/>
      </c>
      <c r="AD204" s="127">
        <f>IFERROR((AC204-AA204)/AB204,"—")</f>
        <v/>
      </c>
      <c r="AE204" s="128">
        <f>AVERAGE(G204,H204)</f>
        <v/>
      </c>
      <c r="AF204" s="129" t="inlineStr">
        <is>
          <t>OK — sources align</t>
        </is>
      </c>
      <c r="AG204" s="130" t="inlineStr">
        <is>
          <t>size-matched</t>
        </is>
      </c>
      <c r="AH204" s="127">
        <f>IFERROR((AB204-AE204)/AE204,"—")</f>
        <v/>
      </c>
      <c r="AI204" s="127">
        <f>IFERROR((S204-AE204)/AE204,"—")</f>
        <v/>
      </c>
      <c r="AJ204" s="131">
        <f>IF(AD204&gt;1, "⚠ HIGH SPREAD", IF(ABS(AH204)&gt;0.5, "⚠ DELTA", "OK"))</f>
        <v/>
      </c>
    </row>
    <row r="205" ht="27.75" customHeight="1" s="56">
      <c r="A205" s="78" t="n"/>
      <c r="B205" s="78" t="inlineStr">
        <is>
          <t>HY-80-009</t>
        </is>
      </c>
      <c r="C205" s="59" t="inlineStr">
        <is>
          <t>Diversion ditch - small unlined common section</t>
        </is>
      </c>
      <c r="D205" s="78" t="inlineStr">
        <is>
          <t>m</t>
        </is>
      </c>
      <c r="E205" s="79" t="n">
        <v>23</v>
      </c>
      <c r="F205" s="79" t="n">
        <v>47</v>
      </c>
      <c r="G205" s="79" t="n">
        <v>22</v>
      </c>
      <c r="H205" s="79" t="n">
        <v>46</v>
      </c>
      <c r="I205" s="80" t="n">
        <v>26</v>
      </c>
      <c r="J205" s="80" t="n">
        <v>53</v>
      </c>
      <c r="K205" s="80" t="n">
        <v>25</v>
      </c>
      <c r="L205" s="80" t="n">
        <v>49</v>
      </c>
      <c r="M205" s="81" t="n">
        <v>26</v>
      </c>
      <c r="N205" s="81" t="n">
        <v>61</v>
      </c>
      <c r="O205" s="81" t="n">
        <v>28</v>
      </c>
      <c r="P205" s="81" t="n">
        <v>58</v>
      </c>
      <c r="Q205" s="82" t="n">
        <v>32</v>
      </c>
      <c r="R205" s="82" t="n">
        <v>70</v>
      </c>
      <c r="S205" s="78" t="inlineStr">
        <is>
          <t>-</t>
        </is>
      </c>
      <c r="T205" s="78" t="inlineStr">
        <is>
          <t>-</t>
        </is>
      </c>
      <c r="U205" s="78" t="inlineStr">
        <is>
          <t>-</t>
        </is>
      </c>
      <c r="V205" s="132" t="inlineStr">
        <is>
          <t>—</t>
        </is>
      </c>
      <c r="W205" s="132" t="inlineStr">
        <is>
          <t>—</t>
        </is>
      </c>
      <c r="X205" s="132" t="inlineStr">
        <is>
          <t>—</t>
        </is>
      </c>
      <c r="Y205" s="133" t="inlineStr">
        <is>
          <t>—</t>
        </is>
      </c>
      <c r="Z205" s="132" t="inlineStr">
        <is>
          <t>—</t>
        </is>
      </c>
      <c r="AA205" s="134" t="inlineStr">
        <is>
          <t>—</t>
        </is>
      </c>
      <c r="AB205" s="134" t="inlineStr">
        <is>
          <t>—</t>
        </is>
      </c>
      <c r="AC205" s="132" t="inlineStr">
        <is>
          <t>—</t>
        </is>
      </c>
      <c r="AD205" s="132" t="inlineStr">
        <is>
          <t>—</t>
        </is>
      </c>
      <c r="AE205" s="128">
        <f>AVERAGE(G205,H205)</f>
        <v/>
      </c>
      <c r="AF205" s="129" t="inlineStr">
        <is>
          <t>No bidder data; SME only</t>
        </is>
      </c>
      <c r="AG205" s="130" t="inlineStr">
        <is>
          <t>no match</t>
        </is>
      </c>
      <c r="AH205" s="127">
        <f>IFERROR((AB205-AE205)/AE205,"—")</f>
        <v/>
      </c>
      <c r="AI205" s="127">
        <f>IFERROR((S205-AE205)/AE205,"—")</f>
        <v/>
      </c>
      <c r="AJ205" s="131" t="inlineStr">
        <is>
          <t>—</t>
        </is>
      </c>
    </row>
    <row r="206" ht="27.75" customHeight="1" s="56">
      <c r="A206" s="78" t="n"/>
      <c r="B206" s="78" t="inlineStr">
        <is>
          <t>HY-80-007</t>
        </is>
      </c>
      <c r="C206" s="59" t="inlineStr">
        <is>
          <t>Diversion inlet - concrete + trash rack</t>
        </is>
      </c>
      <c r="D206" s="78" t="inlineStr">
        <is>
          <t>ea</t>
        </is>
      </c>
      <c r="E206" s="79" t="n">
        <v>59800</v>
      </c>
      <c r="F206" s="79" t="n">
        <v>141750</v>
      </c>
      <c r="G206" s="79" t="n">
        <v>57200</v>
      </c>
      <c r="H206" s="79" t="n">
        <v>137700</v>
      </c>
      <c r="I206" s="80" t="n">
        <v>66300</v>
      </c>
      <c r="J206" s="80" t="n">
        <v>159300</v>
      </c>
      <c r="K206" s="80" t="n">
        <v>65000</v>
      </c>
      <c r="L206" s="80" t="n">
        <v>145800</v>
      </c>
      <c r="M206" s="81" t="n">
        <v>68250</v>
      </c>
      <c r="N206" s="81" t="n">
        <v>182250</v>
      </c>
      <c r="O206" s="81" t="n">
        <v>71500</v>
      </c>
      <c r="P206" s="81" t="n">
        <v>175500</v>
      </c>
      <c r="Q206" s="82" t="n">
        <v>84500</v>
      </c>
      <c r="R206" s="82" t="n">
        <v>209250</v>
      </c>
      <c r="S206" s="78" t="inlineStr">
        <is>
          <t>-</t>
        </is>
      </c>
      <c r="T206" s="78" t="inlineStr">
        <is>
          <t>-</t>
        </is>
      </c>
      <c r="U206" s="78" t="inlineStr">
        <is>
          <t>-</t>
        </is>
      </c>
      <c r="V206" s="123" t="n">
        <v>13500</v>
      </c>
      <c r="W206" s="123" t="n">
        <v>13822.43</v>
      </c>
      <c r="X206" s="123" t="n">
        <v>6201.82</v>
      </c>
      <c r="Y206" s="133" t="inlineStr">
        <is>
          <t>—</t>
        </is>
      </c>
      <c r="Z206" s="123" t="n">
        <v>30000</v>
      </c>
      <c r="AA206" s="124">
        <f>MIN(V206:Z206)</f>
        <v/>
      </c>
      <c r="AB206" s="125">
        <f>MEDIAN(V206:Z206)</f>
        <v/>
      </c>
      <c r="AC206" s="126">
        <f>MAX(V206:Z206)</f>
        <v/>
      </c>
      <c r="AD206" s="127">
        <f>IFERROR((AC206-AA206)/AB206,"—")</f>
        <v/>
      </c>
      <c r="AE206" s="128">
        <f>AVERAGE(G206,H206)</f>
        <v/>
      </c>
      <c r="AF206" s="129" t="inlineStr">
        <is>
          <t>OK — sources align</t>
        </is>
      </c>
      <c r="AG206" s="130" t="inlineStr">
        <is>
          <t>category-fallback</t>
        </is>
      </c>
      <c r="AH206" s="127">
        <f>IFERROR((AB206-AE206)/AE206,"—")</f>
        <v/>
      </c>
      <c r="AI206" s="127">
        <f>IFERROR((S206-AE206)/AE206,"—")</f>
        <v/>
      </c>
      <c r="AJ206" s="131">
        <f>IF(AD206&gt;1, "⚠ HIGH SPREAD", IF(ABS(AH206)&gt;0.5, "⚠ DELTA", "OK"))</f>
        <v/>
      </c>
    </row>
    <row r="207" ht="27.75" customHeight="1" s="56">
      <c r="A207" s="78" t="n"/>
      <c r="B207" s="78" t="inlineStr">
        <is>
          <t>HY-80-005</t>
        </is>
      </c>
      <c r="C207" s="59" t="inlineStr">
        <is>
          <t>Energy dissipator - concrete chute w/ baffles</t>
        </is>
      </c>
      <c r="D207" s="78" t="inlineStr">
        <is>
          <t>m3</t>
        </is>
      </c>
      <c r="E207" s="79" t="n">
        <v>2392</v>
      </c>
      <c r="F207" s="79" t="n">
        <v>4410</v>
      </c>
      <c r="G207" s="79" t="n">
        <v>2288</v>
      </c>
      <c r="H207" s="79" t="n">
        <v>4284</v>
      </c>
      <c r="I207" s="80" t="n">
        <v>2652</v>
      </c>
      <c r="J207" s="80" t="n">
        <v>4956</v>
      </c>
      <c r="K207" s="80" t="n">
        <v>2600</v>
      </c>
      <c r="L207" s="80" t="n">
        <v>4536</v>
      </c>
      <c r="M207" s="81" t="n">
        <v>2730</v>
      </c>
      <c r="N207" s="81" t="n">
        <v>5670</v>
      </c>
      <c r="O207" s="81" t="n">
        <v>2860</v>
      </c>
      <c r="P207" s="81" t="n">
        <v>5460</v>
      </c>
      <c r="Q207" s="82" t="n">
        <v>3380</v>
      </c>
      <c r="R207" s="82" t="n">
        <v>6510</v>
      </c>
      <c r="S207" s="83" t="n">
        <v>19.657</v>
      </c>
      <c r="T207" s="78" t="inlineStr">
        <is>
          <t>-</t>
        </is>
      </c>
      <c r="U207" s="78" t="inlineStr">
        <is>
          <t>-</t>
        </is>
      </c>
      <c r="V207" s="123" t="n">
        <v>66.45</v>
      </c>
      <c r="W207" s="123" t="n">
        <v>70.09999999999999</v>
      </c>
      <c r="X207" s="123" t="n">
        <v>45.33</v>
      </c>
      <c r="Y207" s="123" t="n">
        <v>9.42</v>
      </c>
      <c r="Z207" s="123" t="n">
        <v>60</v>
      </c>
      <c r="AA207" s="124">
        <f>MIN(V207:Z207)</f>
        <v/>
      </c>
      <c r="AB207" s="125">
        <f>MEDIAN(V207:Z207)</f>
        <v/>
      </c>
      <c r="AC207" s="126">
        <f>MAX(V207:Z207)</f>
        <v/>
      </c>
      <c r="AD207" s="127">
        <f>IFERROR((AC207-AA207)/AB207,"—")</f>
        <v/>
      </c>
      <c r="AE207" s="128">
        <f>AVERAGE(G207,H207)</f>
        <v/>
      </c>
      <c r="AF207" s="129" t="inlineStr">
        <is>
          <t>OK — sources align</t>
        </is>
      </c>
      <c r="AG207" s="130" t="inlineStr">
        <is>
          <t>keyword-matched</t>
        </is>
      </c>
      <c r="AH207" s="127">
        <f>IFERROR((AB207-AE207)/AE207,"—")</f>
        <v/>
      </c>
      <c r="AI207" s="127">
        <f>IFERROR((S207-AE207)/AE207,"—")</f>
        <v/>
      </c>
      <c r="AJ207" s="131">
        <f>IF(AD207&gt;1, "⚠ HIGH SPREAD", IF(ABS(AH207)&gt;0.5, "⚠ DELTA", "OK"))</f>
        <v/>
      </c>
    </row>
    <row r="208" ht="27.75" customHeight="1" s="56">
      <c r="A208" s="78" t="n"/>
      <c r="B208" s="78" t="inlineStr">
        <is>
          <t>HY-80-008</t>
        </is>
      </c>
      <c r="C208" s="59" t="inlineStr">
        <is>
          <t>Geotextile underlayer under riprap</t>
        </is>
      </c>
      <c r="D208" s="78" t="inlineStr">
        <is>
          <t>m2</t>
        </is>
      </c>
      <c r="E208" s="79" t="n">
        <v>5</v>
      </c>
      <c r="F208" s="79" t="n">
        <v>9</v>
      </c>
      <c r="G208" s="79" t="n">
        <v>4</v>
      </c>
      <c r="H208" s="79" t="n">
        <v>9</v>
      </c>
      <c r="I208" s="80" t="n">
        <v>5</v>
      </c>
      <c r="J208" s="80" t="n">
        <v>11</v>
      </c>
      <c r="K208" s="80" t="n">
        <v>5</v>
      </c>
      <c r="L208" s="80" t="n">
        <v>10</v>
      </c>
      <c r="M208" s="81" t="n">
        <v>5</v>
      </c>
      <c r="N208" s="81" t="n">
        <v>12</v>
      </c>
      <c r="O208" s="81" t="n">
        <v>6</v>
      </c>
      <c r="P208" s="81" t="n">
        <v>12</v>
      </c>
      <c r="Q208" s="82" t="n">
        <v>6</v>
      </c>
      <c r="R208" s="82" t="n">
        <v>14</v>
      </c>
      <c r="S208" s="78" t="inlineStr">
        <is>
          <t>-</t>
        </is>
      </c>
      <c r="T208" s="78" t="inlineStr">
        <is>
          <t>-</t>
        </is>
      </c>
      <c r="U208" s="78" t="inlineStr">
        <is>
          <t>-</t>
        </is>
      </c>
      <c r="V208" s="123" t="n">
        <v>16.6</v>
      </c>
      <c r="W208" s="123" t="n">
        <v>5.68</v>
      </c>
      <c r="X208" s="123" t="n">
        <v>10.86</v>
      </c>
      <c r="Y208" s="123" t="n">
        <v>1.4</v>
      </c>
      <c r="Z208" s="123" t="n">
        <v>5</v>
      </c>
      <c r="AA208" s="124">
        <f>MIN(V208:Z208)</f>
        <v/>
      </c>
      <c r="AB208" s="125">
        <f>MEDIAN(V208:Z208)</f>
        <v/>
      </c>
      <c r="AC208" s="126">
        <f>MAX(V208:Z208)</f>
        <v/>
      </c>
      <c r="AD208" s="127">
        <f>IFERROR((AC208-AA208)/AB208,"—")</f>
        <v/>
      </c>
      <c r="AE208" s="128">
        <f>AVERAGE(G208,H208)</f>
        <v/>
      </c>
      <c r="AF208" s="129" t="inlineStr">
        <is>
          <t>OK — sources align</t>
        </is>
      </c>
      <c r="AG208" s="130" t="inlineStr">
        <is>
          <t>category-fallback</t>
        </is>
      </c>
      <c r="AH208" s="127">
        <f>IFERROR((AB208-AE208)/AE208,"—")</f>
        <v/>
      </c>
      <c r="AI208" s="127">
        <f>IFERROR((S208-AE208)/AE208,"—")</f>
        <v/>
      </c>
      <c r="AJ208" s="131">
        <f>IF(AD208&gt;1, "⚠ HIGH SPREAD", IF(ABS(AH208)&gt;0.5, "⚠ DELTA", "OK"))</f>
        <v/>
      </c>
    </row>
    <row r="209" ht="27.75" customHeight="1" s="56">
      <c r="A209" s="78" t="n"/>
      <c r="B209" s="78" t="inlineStr">
        <is>
          <t>HY-80-006</t>
        </is>
      </c>
      <c r="C209" s="59" t="inlineStr">
        <is>
          <t>Spillway weir - concrete crest w/ rebar</t>
        </is>
      </c>
      <c r="D209" s="78" t="inlineStr">
        <is>
          <t>m3</t>
        </is>
      </c>
      <c r="E209" s="79" t="n">
        <v>2622</v>
      </c>
      <c r="F209" s="79" t="n">
        <v>4725</v>
      </c>
      <c r="G209" s="79" t="n">
        <v>2508</v>
      </c>
      <c r="H209" s="79" t="n">
        <v>4590</v>
      </c>
      <c r="I209" s="80" t="n">
        <v>2907</v>
      </c>
      <c r="J209" s="80" t="n">
        <v>5310</v>
      </c>
      <c r="K209" s="80" t="n">
        <v>2850</v>
      </c>
      <c r="L209" s="80" t="n">
        <v>4860</v>
      </c>
      <c r="M209" s="81" t="n">
        <v>2992</v>
      </c>
      <c r="N209" s="81" t="n">
        <v>6075</v>
      </c>
      <c r="O209" s="81" t="n">
        <v>3135</v>
      </c>
      <c r="P209" s="81" t="n">
        <v>5850</v>
      </c>
      <c r="Q209" s="82" t="n">
        <v>3705</v>
      </c>
      <c r="R209" s="82" t="n">
        <v>6975</v>
      </c>
      <c r="S209" s="78" t="inlineStr">
        <is>
          <t>-</t>
        </is>
      </c>
      <c r="T209" s="78" t="inlineStr">
        <is>
          <t>-</t>
        </is>
      </c>
      <c r="U209" s="78" t="inlineStr">
        <is>
          <t>-</t>
        </is>
      </c>
      <c r="V209" s="123" t="n">
        <v>1885</v>
      </c>
      <c r="W209" s="123" t="n">
        <v>4854.87</v>
      </c>
      <c r="X209" s="123" t="n">
        <v>1803.8</v>
      </c>
      <c r="Y209" s="123" t="n">
        <v>11.31</v>
      </c>
      <c r="Z209" s="123" t="n">
        <v>40</v>
      </c>
      <c r="AA209" s="124">
        <f>MIN(V209:Z209)</f>
        <v/>
      </c>
      <c r="AB209" s="125">
        <f>MEDIAN(V209:Z209)</f>
        <v/>
      </c>
      <c r="AC209" s="126">
        <f>MAX(V209:Z209)</f>
        <v/>
      </c>
      <c r="AD209" s="127">
        <f>IFERROR((AC209-AA209)/AB209,"—")</f>
        <v/>
      </c>
      <c r="AE209" s="128">
        <f>AVERAGE(G209,H209)</f>
        <v/>
      </c>
      <c r="AF209" s="129" t="inlineStr">
        <is>
          <t>OK — sources align</t>
        </is>
      </c>
      <c r="AG209" s="130" t="inlineStr">
        <is>
          <t>category-fallback</t>
        </is>
      </c>
      <c r="AH209" s="127">
        <f>IFERROR((AB209-AE209)/AE209,"—")</f>
        <v/>
      </c>
      <c r="AI209" s="127">
        <f>IFERROR((S209-AE209)/AE209,"—")</f>
        <v/>
      </c>
      <c r="AJ209" s="131">
        <f>IF(AD209&gt;1, "⚠ HIGH SPREAD", IF(ABS(AH209)&gt;0.5, "⚠ DELTA", "OK"))</f>
        <v/>
      </c>
    </row>
  </sheetData>
  <mergeCells count="9">
    <mergeCell ref="V3:Z3"/>
    <mergeCell ref="AF3:AG3"/>
    <mergeCell ref="Q3:R3"/>
    <mergeCell ref="M3:P3"/>
    <mergeCell ref="AA3:AD3"/>
    <mergeCell ref="E3:H3"/>
    <mergeCell ref="I3:L3"/>
    <mergeCell ref="A3:D3"/>
    <mergeCell ref="S3:U3"/>
  </mergeCells>
  <conditionalFormatting sqref="AC5:AC209">
    <cfRule type="cellIs" rank="0" priority="2" equalAverage="0" operator="equal" aboveAverage="0" dxfId="0" text="" percent="0" bottom="0">
      <formula>"RED"</formula>
    </cfRule>
    <cfRule type="cellIs" rank="0" priority="3" equalAverage="0" operator="equal" aboveAverage="0" dxfId="1" text="" percent="0" bottom="0">
      <formula>"YELLOW"</formula>
    </cfRule>
    <cfRule type="cellIs" rank="0" priority="4" equalAverage="0" operator="equal" aboveAverage="0" dxfId="2" text="" percent="0" bottom="0">
      <formula>"OK"</formula>
    </cfRule>
    <cfRule type="cellIs" rank="0" priority="5" equalAverage="0" operator="equal" aboveAverage="0" dxfId="3" text="" percent="0" bottom="0">
      <formula>"SCOPE"</formula>
    </cfRule>
    <cfRule type="cellIs" rank="0" priority="6" equalAverage="0" operator="equal" aboveAverage="0" dxfId="4" text="" percent="0" bottom="0">
      <formula>"SME"</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W47"/>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5.71" customWidth="1" style="55" min="1" max="1"/>
    <col width="40.71" customWidth="1" style="55" min="2" max="2"/>
    <col width="18.71" customWidth="1" style="55" min="3" max="3"/>
    <col width="9.710000000000001" customWidth="1" style="55" min="4" max="17"/>
    <col width="11.71" customWidth="1" style="55" min="18" max="19"/>
    <col width="14.71" customWidth="1" style="55" min="21" max="21"/>
    <col width="28.71" customWidth="1" style="55" min="23" max="23"/>
  </cols>
  <sheetData>
    <row r="1" ht="25.5" customHeight="1" s="56">
      <c r="A1" s="57" t="inlineStr">
        <is>
          <t>EQUIPMENT HOURLY RATES - Canada-wide 2026 (fully operated $/hr CAD)</t>
        </is>
      </c>
    </row>
    <row r="2" ht="18" customHeight="1" s="56">
      <c r="A2" s="58" t="inlineStr">
        <is>
          <t>Hourly equipment rates by region. Anchored to Rick Q2 2026 operator intel (tandem $150/hr, wiggle wagon $200/hr). Base rates from RMM Rev 5 Sheet 06.</t>
        </is>
      </c>
    </row>
    <row r="3" ht="27.75" customHeight="1" s="56">
      <c r="A3" s="62" t="inlineStr">
        <is>
          <t>IDENTIFICATION</t>
        </is>
      </c>
      <c r="B3" s="63" t="n"/>
      <c r="C3" s="64" t="n"/>
      <c r="D3" s="65" t="inlineStr">
        <is>
          <t>ATLANTIC (NL / NS)</t>
        </is>
      </c>
      <c r="E3" s="63" t="n"/>
      <c r="F3" s="63" t="n"/>
      <c r="G3" s="64" t="n"/>
      <c r="H3" s="66" t="inlineStr">
        <is>
          <t>CENTRAL (ON / MB-SK)</t>
        </is>
      </c>
      <c r="I3" s="63" t="n"/>
      <c r="J3" s="63" t="n"/>
      <c r="K3" s="64" t="n"/>
      <c r="L3" s="67" t="inlineStr">
        <is>
          <t>WESTERN (AB / BC)</t>
        </is>
      </c>
      <c r="M3" s="63" t="n"/>
      <c r="N3" s="63" t="n"/>
      <c r="O3" s="64" t="n"/>
      <c r="P3" s="68" t="inlineStr">
        <is>
          <t>NORTHERN (YT/NWT)</t>
        </is>
      </c>
      <c r="Q3" s="64" t="n"/>
      <c r="R3" s="69" t="inlineStr">
        <is>
          <t>ANCHORS (Rick / GHD)</t>
        </is>
      </c>
      <c r="S3" s="64" t="n"/>
      <c r="T3" s="62" t="inlineStr">
        <is>
          <t>FLEET CHARACTERISTICS</t>
        </is>
      </c>
      <c r="U3" s="63" t="n"/>
      <c r="V3" s="64" t="n"/>
      <c r="W3" s="62" t="inlineStr">
        <is>
          <t>NOTES</t>
        </is>
      </c>
    </row>
    <row r="4" ht="31.5" customHeight="1" s="56">
      <c r="A4" s="75" t="inlineStr">
        <is>
          <t>Cat</t>
        </is>
      </c>
      <c r="B4" s="75" t="inlineStr">
        <is>
          <t>Equipment</t>
        </is>
      </c>
      <c r="C4" s="75" t="inlineStr">
        <is>
          <t>Size / Capacity</t>
        </is>
      </c>
      <c r="D4" s="75" t="inlineStr">
        <is>
          <t>NL Low</t>
        </is>
      </c>
      <c r="E4" s="75" t="inlineStr">
        <is>
          <t>NL High</t>
        </is>
      </c>
      <c r="F4" s="75" t="inlineStr">
        <is>
          <t>NS Low</t>
        </is>
      </c>
      <c r="G4" s="75" t="inlineStr">
        <is>
          <t>NS High</t>
        </is>
      </c>
      <c r="H4" s="75" t="inlineStr">
        <is>
          <t>ON Low</t>
        </is>
      </c>
      <c r="I4" s="75" t="inlineStr">
        <is>
          <t>ON High</t>
        </is>
      </c>
      <c r="J4" s="75" t="inlineStr">
        <is>
          <t>MB/SK Low</t>
        </is>
      </c>
      <c r="K4" s="75" t="inlineStr">
        <is>
          <t>MB/SK High</t>
        </is>
      </c>
      <c r="L4" s="75" t="inlineStr">
        <is>
          <t>AB Low</t>
        </is>
      </c>
      <c r="M4" s="75" t="inlineStr">
        <is>
          <t>AB High</t>
        </is>
      </c>
      <c r="N4" s="75" t="inlineStr">
        <is>
          <t>BC Low</t>
        </is>
      </c>
      <c r="O4" s="75" t="inlineStr">
        <is>
          <t>BC High</t>
        </is>
      </c>
      <c r="P4" s="75" t="inlineStr">
        <is>
          <t>YT Low</t>
        </is>
      </c>
      <c r="Q4" s="75" t="inlineStr">
        <is>
          <t>YT High</t>
        </is>
      </c>
      <c r="R4" s="75" t="inlineStr">
        <is>
          <t>Rick Q2 2026</t>
        </is>
      </c>
      <c r="S4" s="75" t="inlineStr">
        <is>
          <t>GHD Goldboro implied</t>
        </is>
      </c>
      <c r="T4" s="75" t="inlineStr">
        <is>
          <t>Fuel L/hr</t>
        </is>
      </c>
      <c r="U4" s="75" t="inlineStr">
        <is>
          <t>Mob/Demob</t>
        </is>
      </c>
      <c r="V4" s="75" t="inlineStr">
        <is>
          <t>Avail %</t>
        </is>
      </c>
      <c r="W4" s="75" t="inlineStr">
        <is>
          <t>Notes</t>
        </is>
      </c>
    </row>
    <row r="5" ht="25.5" customHeight="1" s="56">
      <c r="A5" s="78" t="inlineStr">
        <is>
          <t>HT</t>
        </is>
      </c>
      <c r="B5" s="59" t="inlineStr">
        <is>
          <t>Tandem dump truck</t>
        </is>
      </c>
      <c r="C5" s="78" t="inlineStr">
        <is>
          <t>18-20T</t>
        </is>
      </c>
      <c r="D5" s="79" t="n">
        <v>129</v>
      </c>
      <c r="E5" s="79" t="n">
        <v>173</v>
      </c>
      <c r="F5" s="79" t="n">
        <v>123</v>
      </c>
      <c r="G5" s="79" t="n">
        <v>168</v>
      </c>
      <c r="H5" s="80" t="n">
        <v>143</v>
      </c>
      <c r="I5" s="80" t="n">
        <v>195</v>
      </c>
      <c r="J5" s="80" t="n">
        <v>140</v>
      </c>
      <c r="K5" s="80" t="n">
        <v>178</v>
      </c>
      <c r="L5" s="81" t="n">
        <v>147</v>
      </c>
      <c r="M5" s="81" t="n">
        <v>223</v>
      </c>
      <c r="N5" s="81" t="n">
        <v>154</v>
      </c>
      <c r="O5" s="81" t="n">
        <v>214</v>
      </c>
      <c r="P5" s="82" t="n">
        <v>182</v>
      </c>
      <c r="Q5" s="82" t="n">
        <v>256</v>
      </c>
      <c r="R5" s="83" t="n">
        <v>150</v>
      </c>
      <c r="S5" s="78" t="inlineStr">
        <is>
          <t>see scope rate</t>
        </is>
      </c>
      <c r="T5" s="78" t="inlineStr">
        <is>
          <t>45-65</t>
        </is>
      </c>
      <c r="U5" s="78" t="inlineStr">
        <is>
          <t>Required</t>
        </is>
      </c>
      <c r="V5" s="78" t="inlineStr">
        <is>
          <t>85%</t>
        </is>
      </c>
      <c r="W5" s="59" t="inlineStr">
        <is>
          <t>Standard short-haul; operator included</t>
        </is>
      </c>
    </row>
    <row r="6" ht="25.5" customHeight="1" s="56">
      <c r="A6" s="78" t="inlineStr">
        <is>
          <t>HT</t>
        </is>
      </c>
      <c r="B6" s="59" t="inlineStr">
        <is>
          <t>Tri-axle dump truck</t>
        </is>
      </c>
      <c r="C6" s="78" t="inlineStr">
        <is>
          <t>25T</t>
        </is>
      </c>
      <c r="D6" s="79" t="n">
        <v>143</v>
      </c>
      <c r="E6" s="79" t="n">
        <v>189</v>
      </c>
      <c r="F6" s="79" t="n">
        <v>136</v>
      </c>
      <c r="G6" s="79" t="n">
        <v>184</v>
      </c>
      <c r="H6" s="80" t="n">
        <v>158</v>
      </c>
      <c r="I6" s="80" t="n">
        <v>212</v>
      </c>
      <c r="J6" s="80" t="n">
        <v>155</v>
      </c>
      <c r="K6" s="80" t="n">
        <v>194</v>
      </c>
      <c r="L6" s="81" t="n">
        <v>163</v>
      </c>
      <c r="M6" s="81" t="n">
        <v>243</v>
      </c>
      <c r="N6" s="81" t="n">
        <v>170</v>
      </c>
      <c r="O6" s="81" t="n">
        <v>234</v>
      </c>
      <c r="P6" s="82" t="n">
        <v>202</v>
      </c>
      <c r="Q6" s="82" t="n">
        <v>279</v>
      </c>
      <c r="R6" s="78" t="inlineStr">
        <is>
          <t>-</t>
        </is>
      </c>
      <c r="S6" s="78" t="inlineStr">
        <is>
          <t>see scope rate</t>
        </is>
      </c>
      <c r="T6" s="78" t="inlineStr">
        <is>
          <t>55-75</t>
        </is>
      </c>
      <c r="U6" s="78" t="inlineStr">
        <is>
          <t>Required</t>
        </is>
      </c>
      <c r="V6" s="78" t="inlineStr">
        <is>
          <t>85%</t>
        </is>
      </c>
      <c r="W6" s="59" t="inlineStr">
        <is>
          <t>Mid-size haul; operator included</t>
        </is>
      </c>
    </row>
    <row r="7" ht="25.5" customHeight="1" s="56">
      <c r="A7" s="78" t="inlineStr">
        <is>
          <t>HT</t>
        </is>
      </c>
      <c r="B7" s="59" t="inlineStr">
        <is>
          <t>Wiggle wagon / Super B</t>
        </is>
      </c>
      <c r="C7" s="78" t="inlineStr">
        <is>
          <t>45T</t>
        </is>
      </c>
      <c r="D7" s="79" t="n">
        <v>170</v>
      </c>
      <c r="E7" s="79" t="n">
        <v>226</v>
      </c>
      <c r="F7" s="79" t="n">
        <v>163</v>
      </c>
      <c r="G7" s="79" t="n">
        <v>219</v>
      </c>
      <c r="H7" s="80" t="n">
        <v>189</v>
      </c>
      <c r="I7" s="80" t="n">
        <v>254</v>
      </c>
      <c r="J7" s="80" t="n">
        <v>185</v>
      </c>
      <c r="K7" s="80" t="n">
        <v>232</v>
      </c>
      <c r="L7" s="81" t="n">
        <v>194</v>
      </c>
      <c r="M7" s="81" t="n">
        <v>290</v>
      </c>
      <c r="N7" s="81" t="n">
        <v>204</v>
      </c>
      <c r="O7" s="81" t="n">
        <v>280</v>
      </c>
      <c r="P7" s="82" t="n">
        <v>240</v>
      </c>
      <c r="Q7" s="82" t="n">
        <v>333</v>
      </c>
      <c r="R7" s="83" t="n">
        <v>200</v>
      </c>
      <c r="S7" s="78" t="inlineStr">
        <is>
          <t>see scope rate</t>
        </is>
      </c>
      <c r="T7" s="78" t="inlineStr">
        <is>
          <t>65-90</t>
        </is>
      </c>
      <c r="U7" s="78" t="inlineStr">
        <is>
          <t>Required</t>
        </is>
      </c>
      <c r="V7" s="78" t="inlineStr">
        <is>
          <t>80%</t>
        </is>
      </c>
      <c r="W7" s="59" t="inlineStr">
        <is>
          <t>Field confirmed Q2-2026 Rick intel</t>
        </is>
      </c>
    </row>
    <row r="8" ht="25.5" customHeight="1" s="56">
      <c r="A8" s="78" t="inlineStr">
        <is>
          <t>HT</t>
        </is>
      </c>
      <c r="B8" s="59" t="inlineStr">
        <is>
          <t>Off-road haul truck</t>
        </is>
      </c>
      <c r="C8" s="78" t="inlineStr">
        <is>
          <t>40-100T</t>
        </is>
      </c>
      <c r="D8" s="79" t="n">
        <v>294</v>
      </c>
      <c r="E8" s="79" t="n">
        <v>525</v>
      </c>
      <c r="F8" s="79" t="n">
        <v>282</v>
      </c>
      <c r="G8" s="79" t="n">
        <v>510</v>
      </c>
      <c r="H8" s="80" t="n">
        <v>326</v>
      </c>
      <c r="I8" s="80" t="n">
        <v>590</v>
      </c>
      <c r="J8" s="80" t="n">
        <v>320</v>
      </c>
      <c r="K8" s="80" t="n">
        <v>540</v>
      </c>
      <c r="L8" s="81" t="n">
        <v>336</v>
      </c>
      <c r="M8" s="81" t="n">
        <v>675</v>
      </c>
      <c r="N8" s="81" t="n">
        <v>352</v>
      </c>
      <c r="O8" s="81" t="n">
        <v>650</v>
      </c>
      <c r="P8" s="82" t="n">
        <v>416</v>
      </c>
      <c r="Q8" s="82" t="n">
        <v>775</v>
      </c>
      <c r="R8" s="78" t="inlineStr">
        <is>
          <t>-</t>
        </is>
      </c>
      <c r="S8" s="78" t="inlineStr">
        <is>
          <t>see scope rate</t>
        </is>
      </c>
      <c r="T8" s="78" t="inlineStr">
        <is>
          <t>80-140</t>
        </is>
      </c>
      <c r="U8" s="78" t="inlineStr">
        <is>
          <t>Included</t>
        </is>
      </c>
      <c r="V8" s="78" t="inlineStr">
        <is>
          <t>85%</t>
        </is>
      </c>
      <c r="W8" s="59" t="inlineStr">
        <is>
          <t>Mining-pit haul; Komatsu/CAT</t>
        </is>
      </c>
    </row>
    <row r="9" ht="25.5" customHeight="1" s="56">
      <c r="A9" s="78" t="inlineStr">
        <is>
          <t>EX</t>
        </is>
      </c>
      <c r="B9" s="59" t="inlineStr">
        <is>
          <t>Hydraulic excavator Cat 320</t>
        </is>
      </c>
      <c r="C9" s="78" t="inlineStr">
        <is>
          <t>20-25T</t>
        </is>
      </c>
      <c r="D9" s="79" t="n">
        <v>230</v>
      </c>
      <c r="E9" s="79" t="n">
        <v>346</v>
      </c>
      <c r="F9" s="79" t="n">
        <v>220</v>
      </c>
      <c r="G9" s="79" t="n">
        <v>337</v>
      </c>
      <c r="H9" s="80" t="n">
        <v>255</v>
      </c>
      <c r="I9" s="80" t="n">
        <v>389</v>
      </c>
      <c r="J9" s="80" t="n">
        <v>250</v>
      </c>
      <c r="K9" s="80" t="n">
        <v>356</v>
      </c>
      <c r="L9" s="81" t="n">
        <v>262</v>
      </c>
      <c r="M9" s="81" t="n">
        <v>446</v>
      </c>
      <c r="N9" s="81" t="n">
        <v>275</v>
      </c>
      <c r="O9" s="81" t="n">
        <v>429</v>
      </c>
      <c r="P9" s="82" t="n">
        <v>325</v>
      </c>
      <c r="Q9" s="82" t="n">
        <v>512</v>
      </c>
      <c r="R9" s="78" t="inlineStr">
        <is>
          <t>-</t>
        </is>
      </c>
      <c r="S9" s="78" t="inlineStr">
        <is>
          <t>see scope rate</t>
        </is>
      </c>
      <c r="T9" s="78" t="inlineStr">
        <is>
          <t>18-25</t>
        </is>
      </c>
      <c r="U9" s="78" t="inlineStr">
        <is>
          <t>Required</t>
        </is>
      </c>
      <c r="V9" s="78" t="inlineStr">
        <is>
          <t>85%</t>
        </is>
      </c>
      <c r="W9" s="59" t="inlineStr">
        <is>
          <t>Production dig/load</t>
        </is>
      </c>
    </row>
    <row r="10" ht="25.5" customHeight="1" s="56">
      <c r="A10" s="78" t="inlineStr">
        <is>
          <t>EX</t>
        </is>
      </c>
      <c r="B10" s="59" t="inlineStr">
        <is>
          <t>Hydraulic excavator Cat 336</t>
        </is>
      </c>
      <c r="C10" s="78" t="inlineStr">
        <is>
          <t>35-40T</t>
        </is>
      </c>
      <c r="D10" s="79" t="n">
        <v>313</v>
      </c>
      <c r="E10" s="79" t="n">
        <v>452</v>
      </c>
      <c r="F10" s="79" t="n">
        <v>299</v>
      </c>
      <c r="G10" s="79" t="n">
        <v>439</v>
      </c>
      <c r="H10" s="80" t="n">
        <v>347</v>
      </c>
      <c r="I10" s="80" t="n">
        <v>507</v>
      </c>
      <c r="J10" s="80" t="n">
        <v>340</v>
      </c>
      <c r="K10" s="80" t="n">
        <v>464</v>
      </c>
      <c r="L10" s="81" t="n">
        <v>357</v>
      </c>
      <c r="M10" s="81" t="n">
        <v>580</v>
      </c>
      <c r="N10" s="81" t="n">
        <v>374</v>
      </c>
      <c r="O10" s="81" t="n">
        <v>559</v>
      </c>
      <c r="P10" s="82" t="n">
        <v>442</v>
      </c>
      <c r="Q10" s="82" t="n">
        <v>666</v>
      </c>
      <c r="R10" s="78" t="inlineStr">
        <is>
          <t>-</t>
        </is>
      </c>
      <c r="S10" s="78" t="inlineStr">
        <is>
          <t>see scope rate</t>
        </is>
      </c>
      <c r="T10" s="78" t="inlineStr">
        <is>
          <t>25-35</t>
        </is>
      </c>
      <c r="U10" s="78" t="inlineStr">
        <is>
          <t>Required</t>
        </is>
      </c>
      <c r="V10" s="78" t="inlineStr">
        <is>
          <t>85%</t>
        </is>
      </c>
      <c r="W10" s="59" t="inlineStr">
        <is>
          <t>Bulk earthworks / rock</t>
        </is>
      </c>
    </row>
    <row r="11" ht="25.5" customHeight="1" s="56">
      <c r="A11" s="78" t="inlineStr">
        <is>
          <t>EX</t>
        </is>
      </c>
      <c r="B11" s="59" t="inlineStr">
        <is>
          <t>Hydraulic excavator Cat 390</t>
        </is>
      </c>
      <c r="C11" s="78" t="inlineStr">
        <is>
          <t>50-65T</t>
        </is>
      </c>
      <c r="D11" s="79" t="n">
        <v>423</v>
      </c>
      <c r="E11" s="79" t="n">
        <v>609</v>
      </c>
      <c r="F11" s="79" t="n">
        <v>405</v>
      </c>
      <c r="G11" s="79" t="n">
        <v>592</v>
      </c>
      <c r="H11" s="80" t="n">
        <v>469</v>
      </c>
      <c r="I11" s="80" t="n">
        <v>684</v>
      </c>
      <c r="J11" s="80" t="n">
        <v>460</v>
      </c>
      <c r="K11" s="80" t="n">
        <v>626</v>
      </c>
      <c r="L11" s="81" t="n">
        <v>483</v>
      </c>
      <c r="M11" s="81" t="n">
        <v>783</v>
      </c>
      <c r="N11" s="81" t="n">
        <v>506</v>
      </c>
      <c r="O11" s="81" t="n">
        <v>754</v>
      </c>
      <c r="P11" s="82" t="n">
        <v>598</v>
      </c>
      <c r="Q11" s="82" t="n">
        <v>899</v>
      </c>
      <c r="R11" s="78" t="inlineStr">
        <is>
          <t>-</t>
        </is>
      </c>
      <c r="S11" s="78" t="inlineStr">
        <is>
          <t>see scope rate</t>
        </is>
      </c>
      <c r="T11" s="78" t="inlineStr">
        <is>
          <t>38-50</t>
        </is>
      </c>
      <c r="U11" s="78" t="inlineStr">
        <is>
          <t>Required</t>
        </is>
      </c>
      <c r="V11" s="78" t="inlineStr">
        <is>
          <t>82%</t>
        </is>
      </c>
      <c r="W11" s="59" t="inlineStr">
        <is>
          <t>Mass excavation</t>
        </is>
      </c>
    </row>
    <row r="12" ht="25.5" customHeight="1" s="56">
      <c r="A12" s="78" t="inlineStr">
        <is>
          <t>EX</t>
        </is>
      </c>
      <c r="B12" s="59" t="inlineStr">
        <is>
          <t>Long-reach excavator</t>
        </is>
      </c>
      <c r="C12" s="78" t="inlineStr">
        <is>
          <t>20T 18m</t>
        </is>
      </c>
      <c r="D12" s="79" t="n">
        <v>267</v>
      </c>
      <c r="E12" s="79" t="n">
        <v>399</v>
      </c>
      <c r="F12" s="79" t="n">
        <v>255</v>
      </c>
      <c r="G12" s="79" t="n">
        <v>388</v>
      </c>
      <c r="H12" s="80" t="n">
        <v>296</v>
      </c>
      <c r="I12" s="80" t="n">
        <v>448</v>
      </c>
      <c r="J12" s="80" t="n">
        <v>290</v>
      </c>
      <c r="K12" s="80" t="n">
        <v>410</v>
      </c>
      <c r="L12" s="81" t="n">
        <v>304</v>
      </c>
      <c r="M12" s="81" t="n">
        <v>513</v>
      </c>
      <c r="N12" s="81" t="n">
        <v>319</v>
      </c>
      <c r="O12" s="81" t="n">
        <v>494</v>
      </c>
      <c r="P12" s="82" t="n">
        <v>377</v>
      </c>
      <c r="Q12" s="82" t="n">
        <v>589</v>
      </c>
      <c r="R12" s="78" t="inlineStr">
        <is>
          <t>-</t>
        </is>
      </c>
      <c r="S12" s="78" t="inlineStr">
        <is>
          <t>see scope rate</t>
        </is>
      </c>
      <c r="T12" s="78" t="inlineStr">
        <is>
          <t>18-25</t>
        </is>
      </c>
      <c r="U12" s="78" t="inlineStr">
        <is>
          <t>Required</t>
        </is>
      </c>
      <c r="V12" s="78" t="inlineStr">
        <is>
          <t>82%</t>
        </is>
      </c>
      <c r="W12" s="59" t="inlineStr">
        <is>
          <t>Pond, ditch, shoreline</t>
        </is>
      </c>
    </row>
    <row r="13" ht="25.5" customHeight="1" s="56">
      <c r="A13" s="78" t="inlineStr">
        <is>
          <t>DO</t>
        </is>
      </c>
      <c r="B13" s="59" t="inlineStr">
        <is>
          <t>Track dozer Cat D6N</t>
        </is>
      </c>
      <c r="C13" s="78" t="inlineStr">
        <is>
          <t>17T</t>
        </is>
      </c>
      <c r="D13" s="79" t="n">
        <v>230</v>
      </c>
      <c r="E13" s="79" t="n">
        <v>336</v>
      </c>
      <c r="F13" s="79" t="n">
        <v>220</v>
      </c>
      <c r="G13" s="79" t="n">
        <v>326</v>
      </c>
      <c r="H13" s="80" t="n">
        <v>255</v>
      </c>
      <c r="I13" s="80" t="n">
        <v>378</v>
      </c>
      <c r="J13" s="80" t="n">
        <v>250</v>
      </c>
      <c r="K13" s="80" t="n">
        <v>346</v>
      </c>
      <c r="L13" s="81" t="n">
        <v>262</v>
      </c>
      <c r="M13" s="81" t="n">
        <v>432</v>
      </c>
      <c r="N13" s="81" t="n">
        <v>275</v>
      </c>
      <c r="O13" s="81" t="n">
        <v>416</v>
      </c>
      <c r="P13" s="82" t="n">
        <v>325</v>
      </c>
      <c r="Q13" s="82" t="n">
        <v>496</v>
      </c>
      <c r="R13" s="78" t="inlineStr">
        <is>
          <t>-</t>
        </is>
      </c>
      <c r="S13" s="78" t="inlineStr">
        <is>
          <t>see scope rate</t>
        </is>
      </c>
      <c r="T13" s="78" t="inlineStr">
        <is>
          <t>20-30</t>
        </is>
      </c>
      <c r="U13" s="78" t="inlineStr">
        <is>
          <t>Required</t>
        </is>
      </c>
      <c r="V13" s="78" t="inlineStr">
        <is>
          <t>88%</t>
        </is>
      </c>
      <c r="W13" s="59" t="inlineStr">
        <is>
          <t>Clear, rough grade, push</t>
        </is>
      </c>
    </row>
    <row r="14" ht="25.5" customHeight="1" s="56">
      <c r="A14" s="78" t="inlineStr">
        <is>
          <t>DO</t>
        </is>
      </c>
      <c r="B14" s="59" t="inlineStr">
        <is>
          <t>Track dozer Cat D8T</t>
        </is>
      </c>
      <c r="C14" s="78" t="inlineStr">
        <is>
          <t>37T</t>
        </is>
      </c>
      <c r="D14" s="79" t="n">
        <v>350</v>
      </c>
      <c r="E14" s="79" t="n">
        <v>504</v>
      </c>
      <c r="F14" s="79" t="n">
        <v>334</v>
      </c>
      <c r="G14" s="79" t="n">
        <v>490</v>
      </c>
      <c r="H14" s="80" t="n">
        <v>388</v>
      </c>
      <c r="I14" s="80" t="n">
        <v>566</v>
      </c>
      <c r="J14" s="80" t="n">
        <v>380</v>
      </c>
      <c r="K14" s="80" t="n">
        <v>518</v>
      </c>
      <c r="L14" s="81" t="n">
        <v>399</v>
      </c>
      <c r="M14" s="81" t="n">
        <v>648</v>
      </c>
      <c r="N14" s="81" t="n">
        <v>418</v>
      </c>
      <c r="O14" s="81" t="n">
        <v>624</v>
      </c>
      <c r="P14" s="82" t="n">
        <v>494</v>
      </c>
      <c r="Q14" s="82" t="n">
        <v>744</v>
      </c>
      <c r="R14" s="78" t="inlineStr">
        <is>
          <t>-</t>
        </is>
      </c>
      <c r="S14" s="78" t="inlineStr">
        <is>
          <t>see scope rate</t>
        </is>
      </c>
      <c r="T14" s="78" t="inlineStr">
        <is>
          <t>35-48</t>
        </is>
      </c>
      <c r="U14" s="78" t="inlineStr">
        <is>
          <t>Required</t>
        </is>
      </c>
      <c r="V14" s="78" t="inlineStr">
        <is>
          <t>88%</t>
        </is>
      </c>
      <c r="W14" s="59" t="inlineStr">
        <is>
          <t>Production push, rip rock</t>
        </is>
      </c>
    </row>
    <row r="15" ht="25.5" customHeight="1" s="56">
      <c r="A15" s="78" t="inlineStr">
        <is>
          <t>DO</t>
        </is>
      </c>
      <c r="B15" s="59" t="inlineStr">
        <is>
          <t>Track dozer Cat D10T</t>
        </is>
      </c>
      <c r="C15" s="78" t="inlineStr">
        <is>
          <t>58T</t>
        </is>
      </c>
      <c r="D15" s="79" t="n">
        <v>478</v>
      </c>
      <c r="E15" s="79" t="n">
        <v>682</v>
      </c>
      <c r="F15" s="79" t="n">
        <v>458</v>
      </c>
      <c r="G15" s="79" t="n">
        <v>663</v>
      </c>
      <c r="H15" s="80" t="n">
        <v>530</v>
      </c>
      <c r="I15" s="80" t="n">
        <v>767</v>
      </c>
      <c r="J15" s="80" t="n">
        <v>520</v>
      </c>
      <c r="K15" s="80" t="n">
        <v>702</v>
      </c>
      <c r="L15" s="81" t="n">
        <v>546</v>
      </c>
      <c r="M15" s="81" t="n">
        <v>878</v>
      </c>
      <c r="N15" s="81" t="n">
        <v>572</v>
      </c>
      <c r="O15" s="81" t="n">
        <v>845</v>
      </c>
      <c r="P15" s="82" t="n">
        <v>676</v>
      </c>
      <c r="Q15" s="82" t="n">
        <v>1008</v>
      </c>
      <c r="R15" s="78" t="inlineStr">
        <is>
          <t>-</t>
        </is>
      </c>
      <c r="S15" s="78" t="inlineStr">
        <is>
          <t>see scope rate</t>
        </is>
      </c>
      <c r="T15" s="78" t="inlineStr">
        <is>
          <t>50-68</t>
        </is>
      </c>
      <c r="U15" s="78" t="inlineStr">
        <is>
          <t>Required</t>
        </is>
      </c>
      <c r="V15" s="78" t="inlineStr">
        <is>
          <t>85%</t>
        </is>
      </c>
      <c r="W15" s="59" t="inlineStr">
        <is>
          <t>Mass earthworks / stripping</t>
        </is>
      </c>
    </row>
    <row r="16" ht="25.5" customHeight="1" s="56">
      <c r="A16" s="78" t="inlineStr">
        <is>
          <t>GR</t>
        </is>
      </c>
      <c r="B16" s="59" t="inlineStr">
        <is>
          <t>Motor grader Cat 140M</t>
        </is>
      </c>
      <c r="C16" s="78" t="inlineStr">
        <is>
          <t>-</t>
        </is>
      </c>
      <c r="D16" s="79" t="n">
        <v>258</v>
      </c>
      <c r="E16" s="79" t="n">
        <v>378</v>
      </c>
      <c r="F16" s="79" t="n">
        <v>246</v>
      </c>
      <c r="G16" s="79" t="n">
        <v>367</v>
      </c>
      <c r="H16" s="80" t="n">
        <v>286</v>
      </c>
      <c r="I16" s="80" t="n">
        <v>425</v>
      </c>
      <c r="J16" s="80" t="n">
        <v>280</v>
      </c>
      <c r="K16" s="80" t="n">
        <v>389</v>
      </c>
      <c r="L16" s="81" t="n">
        <v>294</v>
      </c>
      <c r="M16" s="81" t="n">
        <v>486</v>
      </c>
      <c r="N16" s="81" t="n">
        <v>308</v>
      </c>
      <c r="O16" s="81" t="n">
        <v>468</v>
      </c>
      <c r="P16" s="82" t="n">
        <v>364</v>
      </c>
      <c r="Q16" s="82" t="n">
        <v>558</v>
      </c>
      <c r="R16" s="78" t="inlineStr">
        <is>
          <t>-</t>
        </is>
      </c>
      <c r="S16" s="78" t="inlineStr">
        <is>
          <t>see scope rate</t>
        </is>
      </c>
      <c r="T16" s="78" t="inlineStr">
        <is>
          <t>18-26</t>
        </is>
      </c>
      <c r="U16" s="78" t="inlineStr">
        <is>
          <t>Required</t>
        </is>
      </c>
      <c r="V16" s="78" t="inlineStr">
        <is>
          <t>88%</t>
        </is>
      </c>
      <c r="W16" s="59" t="inlineStr">
        <is>
          <t>Road maint, final grade</t>
        </is>
      </c>
    </row>
    <row r="17" ht="25.5" customHeight="1" s="56">
      <c r="A17" s="78" t="inlineStr">
        <is>
          <t>GR</t>
        </is>
      </c>
      <c r="B17" s="59" t="inlineStr">
        <is>
          <t>Motor grader Cat 16M</t>
        </is>
      </c>
      <c r="C17" s="78" t="inlineStr">
        <is>
          <t>large</t>
        </is>
      </c>
      <c r="D17" s="79" t="n">
        <v>331</v>
      </c>
      <c r="E17" s="79" t="n">
        <v>472</v>
      </c>
      <c r="F17" s="79" t="n">
        <v>317</v>
      </c>
      <c r="G17" s="79" t="n">
        <v>459</v>
      </c>
      <c r="H17" s="80" t="n">
        <v>367</v>
      </c>
      <c r="I17" s="80" t="n">
        <v>531</v>
      </c>
      <c r="J17" s="80" t="n">
        <v>360</v>
      </c>
      <c r="K17" s="80" t="n">
        <v>486</v>
      </c>
      <c r="L17" s="81" t="n">
        <v>378</v>
      </c>
      <c r="M17" s="81" t="n">
        <v>608</v>
      </c>
      <c r="N17" s="81" t="n">
        <v>396</v>
      </c>
      <c r="O17" s="81" t="n">
        <v>585</v>
      </c>
      <c r="P17" s="82" t="n">
        <v>468</v>
      </c>
      <c r="Q17" s="82" t="n">
        <v>698</v>
      </c>
      <c r="R17" s="78" t="inlineStr">
        <is>
          <t>-</t>
        </is>
      </c>
      <c r="S17" s="78" t="inlineStr">
        <is>
          <t>see scope rate</t>
        </is>
      </c>
      <c r="T17" s="78" t="inlineStr">
        <is>
          <t>22-32</t>
        </is>
      </c>
      <c r="U17" s="78" t="inlineStr">
        <is>
          <t>Required</t>
        </is>
      </c>
      <c r="V17" s="78" t="inlineStr">
        <is>
          <t>88%</t>
        </is>
      </c>
      <c r="W17" s="59" t="inlineStr">
        <is>
          <t>Large platform grading</t>
        </is>
      </c>
    </row>
    <row r="18" ht="25.5" customHeight="1" s="56">
      <c r="A18" s="78" t="inlineStr">
        <is>
          <t>CP</t>
        </is>
      </c>
      <c r="B18" s="59" t="inlineStr">
        <is>
          <t>Vib roller Cat CS56B</t>
        </is>
      </c>
      <c r="C18" s="78" t="inlineStr">
        <is>
          <t>12T</t>
        </is>
      </c>
      <c r="D18" s="79" t="n">
        <v>184</v>
      </c>
      <c r="E18" s="79" t="n">
        <v>284</v>
      </c>
      <c r="F18" s="79" t="n">
        <v>176</v>
      </c>
      <c r="G18" s="79" t="n">
        <v>275</v>
      </c>
      <c r="H18" s="80" t="n">
        <v>204</v>
      </c>
      <c r="I18" s="80" t="n">
        <v>319</v>
      </c>
      <c r="J18" s="80" t="n">
        <v>200</v>
      </c>
      <c r="K18" s="80" t="n">
        <v>292</v>
      </c>
      <c r="L18" s="81" t="n">
        <v>210</v>
      </c>
      <c r="M18" s="81" t="n">
        <v>364</v>
      </c>
      <c r="N18" s="81" t="n">
        <v>220</v>
      </c>
      <c r="O18" s="81" t="n">
        <v>351</v>
      </c>
      <c r="P18" s="82" t="n">
        <v>260</v>
      </c>
      <c r="Q18" s="82" t="n">
        <v>418</v>
      </c>
      <c r="R18" s="78" t="inlineStr">
        <is>
          <t>-</t>
        </is>
      </c>
      <c r="S18" s="78" t="inlineStr">
        <is>
          <t>see scope rate</t>
        </is>
      </c>
      <c r="T18" s="78" t="inlineStr">
        <is>
          <t>15-22</t>
        </is>
      </c>
      <c r="U18" s="78" t="inlineStr">
        <is>
          <t>Required</t>
        </is>
      </c>
      <c r="V18" s="78" t="inlineStr">
        <is>
          <t>88%</t>
        </is>
      </c>
      <c r="W18" s="59" t="inlineStr">
        <is>
          <t>200-300mm lift compaction</t>
        </is>
      </c>
    </row>
    <row r="19" ht="25.5" customHeight="1" s="56">
      <c r="A19" s="78" t="inlineStr">
        <is>
          <t>CP</t>
        </is>
      </c>
      <c r="B19" s="59" t="inlineStr">
        <is>
          <t>Padfoot compactor CS74B</t>
        </is>
      </c>
      <c r="C19" s="78" t="inlineStr">
        <is>
          <t>17T</t>
        </is>
      </c>
      <c r="D19" s="79" t="n">
        <v>221</v>
      </c>
      <c r="E19" s="79" t="n">
        <v>326</v>
      </c>
      <c r="F19" s="79" t="n">
        <v>211</v>
      </c>
      <c r="G19" s="79" t="n">
        <v>316</v>
      </c>
      <c r="H19" s="80" t="n">
        <v>245</v>
      </c>
      <c r="I19" s="80" t="n">
        <v>366</v>
      </c>
      <c r="J19" s="80" t="n">
        <v>240</v>
      </c>
      <c r="K19" s="80" t="n">
        <v>335</v>
      </c>
      <c r="L19" s="81" t="n">
        <v>252</v>
      </c>
      <c r="M19" s="81" t="n">
        <v>418</v>
      </c>
      <c r="N19" s="81" t="n">
        <v>264</v>
      </c>
      <c r="O19" s="81" t="n">
        <v>403</v>
      </c>
      <c r="P19" s="82" t="n">
        <v>312</v>
      </c>
      <c r="Q19" s="82" t="n">
        <v>480</v>
      </c>
      <c r="R19" s="78" t="inlineStr">
        <is>
          <t>-</t>
        </is>
      </c>
      <c r="S19" s="78" t="inlineStr">
        <is>
          <t>see scope rate</t>
        </is>
      </c>
      <c r="T19" s="78" t="inlineStr">
        <is>
          <t>18-26</t>
        </is>
      </c>
      <c r="U19" s="78" t="inlineStr">
        <is>
          <t>Required</t>
        </is>
      </c>
      <c r="V19" s="78" t="inlineStr">
        <is>
          <t>88%</t>
        </is>
      </c>
      <c r="W19" s="59" t="inlineStr">
        <is>
          <t>Cohesive soil</t>
        </is>
      </c>
    </row>
    <row r="20" ht="25.5" customHeight="1" s="56">
      <c r="A20" s="78" t="inlineStr">
        <is>
          <t>CP</t>
        </is>
      </c>
      <c r="B20" s="59" t="inlineStr">
        <is>
          <t>Plate compactor / jumping jack</t>
        </is>
      </c>
      <c r="C20" s="78" t="inlineStr">
        <is>
          <t>0.5-1T</t>
        </is>
      </c>
      <c r="D20" s="79" t="n">
        <v>41</v>
      </c>
      <c r="E20" s="79" t="n">
        <v>79</v>
      </c>
      <c r="F20" s="79" t="n">
        <v>40</v>
      </c>
      <c r="G20" s="79" t="n">
        <v>76</v>
      </c>
      <c r="H20" s="80" t="n">
        <v>46</v>
      </c>
      <c r="I20" s="80" t="n">
        <v>88</v>
      </c>
      <c r="J20" s="80" t="n">
        <v>45</v>
      </c>
      <c r="K20" s="80" t="n">
        <v>81</v>
      </c>
      <c r="L20" s="81" t="n">
        <v>47</v>
      </c>
      <c r="M20" s="81" t="n">
        <v>101</v>
      </c>
      <c r="N20" s="81" t="n">
        <v>50</v>
      </c>
      <c r="O20" s="81" t="n">
        <v>98</v>
      </c>
      <c r="P20" s="82" t="n">
        <v>58</v>
      </c>
      <c r="Q20" s="82" t="n">
        <v>116</v>
      </c>
      <c r="R20" s="78" t="inlineStr">
        <is>
          <t>-</t>
        </is>
      </c>
      <c r="S20" s="78" t="inlineStr">
        <is>
          <t>see scope rate</t>
        </is>
      </c>
      <c r="T20" s="78" t="inlineStr">
        <is>
          <t>5-8</t>
        </is>
      </c>
      <c r="U20" s="78" t="inlineStr">
        <is>
          <t>By truck</t>
        </is>
      </c>
      <c r="V20" s="78" t="inlineStr">
        <is>
          <t>90%</t>
        </is>
      </c>
      <c r="W20" s="59" t="inlineStr">
        <is>
          <t>Trench zones, tight access</t>
        </is>
      </c>
    </row>
    <row r="21" ht="25.5" customHeight="1" s="56">
      <c r="A21" s="78" t="inlineStr">
        <is>
          <t>WL</t>
        </is>
      </c>
      <c r="B21" s="59" t="inlineStr">
        <is>
          <t>Wheel loader Cat 930M</t>
        </is>
      </c>
      <c r="C21" s="78" t="inlineStr">
        <is>
          <t>10T</t>
        </is>
      </c>
      <c r="D21" s="79" t="n">
        <v>184</v>
      </c>
      <c r="E21" s="79" t="n">
        <v>284</v>
      </c>
      <c r="F21" s="79" t="n">
        <v>176</v>
      </c>
      <c r="G21" s="79" t="n">
        <v>275</v>
      </c>
      <c r="H21" s="80" t="n">
        <v>204</v>
      </c>
      <c r="I21" s="80" t="n">
        <v>319</v>
      </c>
      <c r="J21" s="80" t="n">
        <v>200</v>
      </c>
      <c r="K21" s="80" t="n">
        <v>292</v>
      </c>
      <c r="L21" s="81" t="n">
        <v>210</v>
      </c>
      <c r="M21" s="81" t="n">
        <v>364</v>
      </c>
      <c r="N21" s="81" t="n">
        <v>220</v>
      </c>
      <c r="O21" s="81" t="n">
        <v>351</v>
      </c>
      <c r="P21" s="82" t="n">
        <v>260</v>
      </c>
      <c r="Q21" s="82" t="n">
        <v>418</v>
      </c>
      <c r="R21" s="78" t="inlineStr">
        <is>
          <t>-</t>
        </is>
      </c>
      <c r="S21" s="78" t="inlineStr">
        <is>
          <t>see scope rate</t>
        </is>
      </c>
      <c r="T21" s="78" t="inlineStr">
        <is>
          <t>18-26</t>
        </is>
      </c>
      <c r="U21" s="78" t="inlineStr">
        <is>
          <t>Required</t>
        </is>
      </c>
      <c r="V21" s="78" t="inlineStr">
        <is>
          <t>87%</t>
        </is>
      </c>
      <c r="W21" s="59" t="inlineStr">
        <is>
          <t>Aggregate load, general</t>
        </is>
      </c>
    </row>
    <row r="22" ht="25.5" customHeight="1" s="56">
      <c r="A22" s="78" t="inlineStr">
        <is>
          <t>WL</t>
        </is>
      </c>
      <c r="B22" s="59" t="inlineStr">
        <is>
          <t>Wheel loader Cat 950M</t>
        </is>
      </c>
      <c r="C22" s="78" t="inlineStr">
        <is>
          <t>16T</t>
        </is>
      </c>
      <c r="D22" s="79" t="n">
        <v>230</v>
      </c>
      <c r="E22" s="79" t="n">
        <v>336</v>
      </c>
      <c r="F22" s="79" t="n">
        <v>220</v>
      </c>
      <c r="G22" s="79" t="n">
        <v>326</v>
      </c>
      <c r="H22" s="80" t="n">
        <v>255</v>
      </c>
      <c r="I22" s="80" t="n">
        <v>378</v>
      </c>
      <c r="J22" s="80" t="n">
        <v>250</v>
      </c>
      <c r="K22" s="80" t="n">
        <v>346</v>
      </c>
      <c r="L22" s="81" t="n">
        <v>262</v>
      </c>
      <c r="M22" s="81" t="n">
        <v>432</v>
      </c>
      <c r="N22" s="81" t="n">
        <v>275</v>
      </c>
      <c r="O22" s="81" t="n">
        <v>416</v>
      </c>
      <c r="P22" s="82" t="n">
        <v>325</v>
      </c>
      <c r="Q22" s="82" t="n">
        <v>496</v>
      </c>
      <c r="R22" s="78" t="inlineStr">
        <is>
          <t>-</t>
        </is>
      </c>
      <c r="S22" s="78" t="inlineStr">
        <is>
          <t>see scope rate</t>
        </is>
      </c>
      <c r="T22" s="78" t="inlineStr">
        <is>
          <t>22-30</t>
        </is>
      </c>
      <c r="U22" s="78" t="inlineStr">
        <is>
          <t>Required</t>
        </is>
      </c>
      <c r="V22" s="78" t="inlineStr">
        <is>
          <t>87%</t>
        </is>
      </c>
      <c r="W22" s="59" t="inlineStr">
        <is>
          <t>General load-out</t>
        </is>
      </c>
    </row>
    <row r="23" ht="25.5" customHeight="1" s="56">
      <c r="A23" s="78" t="inlineStr">
        <is>
          <t>WL</t>
        </is>
      </c>
      <c r="B23" s="59" t="inlineStr">
        <is>
          <t>Wheel loader Cat 980M</t>
        </is>
      </c>
      <c r="C23" s="78" t="inlineStr">
        <is>
          <t>22T</t>
        </is>
      </c>
      <c r="D23" s="79" t="n">
        <v>294</v>
      </c>
      <c r="E23" s="79" t="n">
        <v>420</v>
      </c>
      <c r="F23" s="79" t="n">
        <v>282</v>
      </c>
      <c r="G23" s="79" t="n">
        <v>408</v>
      </c>
      <c r="H23" s="80" t="n">
        <v>326</v>
      </c>
      <c r="I23" s="80" t="n">
        <v>472</v>
      </c>
      <c r="J23" s="80" t="n">
        <v>320</v>
      </c>
      <c r="K23" s="80" t="n">
        <v>432</v>
      </c>
      <c r="L23" s="81" t="n">
        <v>336</v>
      </c>
      <c r="M23" s="81" t="n">
        <v>540</v>
      </c>
      <c r="N23" s="81" t="n">
        <v>352</v>
      </c>
      <c r="O23" s="81" t="n">
        <v>520</v>
      </c>
      <c r="P23" s="82" t="n">
        <v>416</v>
      </c>
      <c r="Q23" s="82" t="n">
        <v>620</v>
      </c>
      <c r="R23" s="78" t="inlineStr">
        <is>
          <t>-</t>
        </is>
      </c>
      <c r="S23" s="78" t="inlineStr">
        <is>
          <t>see scope rate</t>
        </is>
      </c>
      <c r="T23" s="78" t="inlineStr">
        <is>
          <t>28-38</t>
        </is>
      </c>
      <c r="U23" s="78" t="inlineStr">
        <is>
          <t>Required</t>
        </is>
      </c>
      <c r="V23" s="78" t="inlineStr">
        <is>
          <t>87%</t>
        </is>
      </c>
      <c r="W23" s="59" t="inlineStr">
        <is>
          <t>High production</t>
        </is>
      </c>
    </row>
    <row r="24" ht="25.5" customHeight="1" s="56">
      <c r="A24" s="78" t="inlineStr">
        <is>
          <t>DR</t>
        </is>
      </c>
      <c r="B24" s="59" t="inlineStr">
        <is>
          <t>Rotary drill rig (Atlas)</t>
        </is>
      </c>
      <c r="C24" s="78" t="inlineStr">
        <is>
          <t>120mm hole</t>
        </is>
      </c>
      <c r="D24" s="79" t="n">
        <v>506</v>
      </c>
      <c r="E24" s="79" t="n">
        <v>788</v>
      </c>
      <c r="F24" s="79" t="n">
        <v>484</v>
      </c>
      <c r="G24" s="79" t="n">
        <v>765</v>
      </c>
      <c r="H24" s="80" t="n">
        <v>561</v>
      </c>
      <c r="I24" s="80" t="n">
        <v>885</v>
      </c>
      <c r="J24" s="80" t="n">
        <v>550</v>
      </c>
      <c r="K24" s="80" t="n">
        <v>810</v>
      </c>
      <c r="L24" s="81" t="n">
        <v>578</v>
      </c>
      <c r="M24" s="81" t="n">
        <v>1013</v>
      </c>
      <c r="N24" s="81" t="n">
        <v>605</v>
      </c>
      <c r="O24" s="81" t="n">
        <v>975</v>
      </c>
      <c r="P24" s="82" t="n">
        <v>715</v>
      </c>
      <c r="Q24" s="82" t="n">
        <v>1162</v>
      </c>
      <c r="R24" s="78" t="inlineStr">
        <is>
          <t>-</t>
        </is>
      </c>
      <c r="S24" s="78" t="inlineStr">
        <is>
          <t>see scope rate</t>
        </is>
      </c>
      <c r="T24" s="78" t="inlineStr">
        <is>
          <t>35-50</t>
        </is>
      </c>
      <c r="U24" s="78" t="inlineStr">
        <is>
          <t>Included</t>
        </is>
      </c>
      <c r="V24" s="78" t="inlineStr">
        <is>
          <t>80%</t>
        </is>
      </c>
      <c r="W24" s="59" t="inlineStr">
        <is>
          <t>Blast hole drilling</t>
        </is>
      </c>
    </row>
    <row r="25" ht="25.5" customHeight="1" s="56">
      <c r="A25" s="78" t="inlineStr">
        <is>
          <t>SK</t>
        </is>
      </c>
      <c r="B25" s="59" t="inlineStr">
        <is>
          <t>Skid steer Cat 262D</t>
        </is>
      </c>
      <c r="C25" s="78" t="inlineStr">
        <is>
          <t>-</t>
        </is>
      </c>
      <c r="D25" s="79" t="n">
        <v>87</v>
      </c>
      <c r="E25" s="79" t="n">
        <v>142</v>
      </c>
      <c r="F25" s="79" t="n">
        <v>84</v>
      </c>
      <c r="G25" s="79" t="n">
        <v>138</v>
      </c>
      <c r="H25" s="80" t="n">
        <v>97</v>
      </c>
      <c r="I25" s="80" t="n">
        <v>159</v>
      </c>
      <c r="J25" s="80" t="n">
        <v>95</v>
      </c>
      <c r="K25" s="80" t="n">
        <v>146</v>
      </c>
      <c r="L25" s="81" t="n">
        <v>100</v>
      </c>
      <c r="M25" s="81" t="n">
        <v>182</v>
      </c>
      <c r="N25" s="81" t="n">
        <v>105</v>
      </c>
      <c r="O25" s="81" t="n">
        <v>176</v>
      </c>
      <c r="P25" s="82" t="n">
        <v>124</v>
      </c>
      <c r="Q25" s="82" t="n">
        <v>209</v>
      </c>
      <c r="R25" s="78" t="inlineStr">
        <is>
          <t>-</t>
        </is>
      </c>
      <c r="S25" s="78" t="inlineStr">
        <is>
          <t>see scope rate</t>
        </is>
      </c>
      <c r="T25" s="78" t="inlineStr">
        <is>
          <t>10-15</t>
        </is>
      </c>
      <c r="U25" s="78" t="inlineStr">
        <is>
          <t>By truck</t>
        </is>
      </c>
      <c r="V25" s="78" t="inlineStr">
        <is>
          <t>90%</t>
        </is>
      </c>
      <c r="W25" s="59" t="inlineStr">
        <is>
          <t>Tight access, site clean</t>
        </is>
      </c>
    </row>
    <row r="26" ht="25.5" customHeight="1" s="56">
      <c r="A26" s="78" t="inlineStr">
        <is>
          <t>WP</t>
        </is>
      </c>
      <c r="B26" s="59" t="inlineStr">
        <is>
          <t>Diesel submersible pump</t>
        </is>
      </c>
      <c r="C26" s="78" t="inlineStr">
        <is>
          <t>4-inch 150mm</t>
        </is>
      </c>
      <c r="D26" s="79" t="n">
        <v>51</v>
      </c>
      <c r="E26" s="79" t="n">
        <v>89</v>
      </c>
      <c r="F26" s="79" t="n">
        <v>48</v>
      </c>
      <c r="G26" s="79" t="n">
        <v>87</v>
      </c>
      <c r="H26" s="80" t="n">
        <v>56</v>
      </c>
      <c r="I26" s="80" t="n">
        <v>100</v>
      </c>
      <c r="J26" s="80" t="n">
        <v>55</v>
      </c>
      <c r="K26" s="80" t="n">
        <v>92</v>
      </c>
      <c r="L26" s="81" t="n">
        <v>58</v>
      </c>
      <c r="M26" s="81" t="n">
        <v>115</v>
      </c>
      <c r="N26" s="81" t="n">
        <v>61</v>
      </c>
      <c r="O26" s="81" t="n">
        <v>110</v>
      </c>
      <c r="P26" s="82" t="n">
        <v>72</v>
      </c>
      <c r="Q26" s="82" t="n">
        <v>132</v>
      </c>
      <c r="R26" s="78" t="inlineStr">
        <is>
          <t>-</t>
        </is>
      </c>
      <c r="S26" s="78" t="inlineStr">
        <is>
          <t>see scope rate</t>
        </is>
      </c>
      <c r="T26" s="78" t="inlineStr">
        <is>
          <t>10-16</t>
        </is>
      </c>
      <c r="U26" s="78" t="inlineStr">
        <is>
          <t>By truck</t>
        </is>
      </c>
      <c r="V26" s="78" t="inlineStr">
        <is>
          <t>90%</t>
        </is>
      </c>
      <c r="W26" s="59" t="inlineStr">
        <is>
          <t>Site dewatering</t>
        </is>
      </c>
    </row>
    <row r="27" ht="25.5" customHeight="1" s="56">
      <c r="A27" s="78" t="inlineStr">
        <is>
          <t>WP</t>
        </is>
      </c>
      <c r="B27" s="59" t="inlineStr">
        <is>
          <t>Diesel submersible pump</t>
        </is>
      </c>
      <c r="C27" s="78" t="inlineStr">
        <is>
          <t>8-inch 200mm</t>
        </is>
      </c>
      <c r="D27" s="79" t="n">
        <v>110</v>
      </c>
      <c r="E27" s="79" t="n">
        <v>189</v>
      </c>
      <c r="F27" s="79" t="n">
        <v>106</v>
      </c>
      <c r="G27" s="79" t="n">
        <v>184</v>
      </c>
      <c r="H27" s="80" t="n">
        <v>122</v>
      </c>
      <c r="I27" s="80" t="n">
        <v>212</v>
      </c>
      <c r="J27" s="80" t="n">
        <v>120</v>
      </c>
      <c r="K27" s="80" t="n">
        <v>194</v>
      </c>
      <c r="L27" s="81" t="n">
        <v>126</v>
      </c>
      <c r="M27" s="81" t="n">
        <v>243</v>
      </c>
      <c r="N27" s="81" t="n">
        <v>132</v>
      </c>
      <c r="O27" s="81" t="n">
        <v>234</v>
      </c>
      <c r="P27" s="82" t="n">
        <v>156</v>
      </c>
      <c r="Q27" s="82" t="n">
        <v>279</v>
      </c>
      <c r="R27" s="78" t="inlineStr">
        <is>
          <t>-</t>
        </is>
      </c>
      <c r="S27" s="78" t="inlineStr">
        <is>
          <t>see scope rate</t>
        </is>
      </c>
      <c r="T27" s="78" t="inlineStr">
        <is>
          <t>20-30</t>
        </is>
      </c>
      <c r="U27" s="78" t="inlineStr">
        <is>
          <t>By truck</t>
        </is>
      </c>
      <c r="V27" s="78" t="inlineStr">
        <is>
          <t>90%</t>
        </is>
      </c>
      <c r="W27" s="59" t="inlineStr">
        <is>
          <t>Large dewatering</t>
        </is>
      </c>
    </row>
    <row r="28" ht="25.5" customHeight="1" s="56">
      <c r="A28" s="78" t="inlineStr">
        <is>
          <t>CR</t>
        </is>
      </c>
      <c r="B28" s="59" t="inlineStr">
        <is>
          <t>Rough terrain crane Grove</t>
        </is>
      </c>
      <c r="C28" s="78" t="inlineStr">
        <is>
          <t>RT 60T</t>
        </is>
      </c>
      <c r="D28" s="79" t="n">
        <v>598</v>
      </c>
      <c r="E28" s="79" t="n">
        <v>945</v>
      </c>
      <c r="F28" s="79" t="n">
        <v>572</v>
      </c>
      <c r="G28" s="79" t="n">
        <v>918</v>
      </c>
      <c r="H28" s="80" t="n">
        <v>663</v>
      </c>
      <c r="I28" s="80" t="n">
        <v>1062</v>
      </c>
      <c r="J28" s="80" t="n">
        <v>650</v>
      </c>
      <c r="K28" s="80" t="n">
        <v>972</v>
      </c>
      <c r="L28" s="81" t="n">
        <v>682</v>
      </c>
      <c r="M28" s="81" t="n">
        <v>1215</v>
      </c>
      <c r="N28" s="81" t="n">
        <v>715</v>
      </c>
      <c r="O28" s="81" t="n">
        <v>1170</v>
      </c>
      <c r="P28" s="82" t="n">
        <v>845</v>
      </c>
      <c r="Q28" s="82" t="n">
        <v>1395</v>
      </c>
      <c r="R28" s="78" t="inlineStr">
        <is>
          <t>-</t>
        </is>
      </c>
      <c r="S28" s="78" t="inlineStr">
        <is>
          <t>see scope rate</t>
        </is>
      </c>
      <c r="T28" s="78" t="inlineStr">
        <is>
          <t>30-45</t>
        </is>
      </c>
      <c r="U28" s="78" t="inlineStr">
        <is>
          <t>Required</t>
        </is>
      </c>
      <c r="V28" s="78" t="inlineStr">
        <is>
          <t>80%</t>
        </is>
      </c>
      <c r="W28" s="59" t="inlineStr">
        <is>
          <t>Lifts, precast, equip set</t>
        </is>
      </c>
    </row>
    <row r="29" ht="25.5" customHeight="1" s="56">
      <c r="A29" s="78" t="inlineStr">
        <is>
          <t>CR</t>
        </is>
      </c>
      <c r="B29" s="59" t="inlineStr">
        <is>
          <t>Lattice boom crawler crane</t>
        </is>
      </c>
      <c r="C29" s="78" t="inlineStr">
        <is>
          <t>Liebherr 150T</t>
        </is>
      </c>
      <c r="D29" s="79" t="n">
        <v>1656</v>
      </c>
      <c r="E29" s="79" t="n">
        <v>2730</v>
      </c>
      <c r="F29" s="79" t="n">
        <v>1584</v>
      </c>
      <c r="G29" s="79" t="n">
        <v>2652</v>
      </c>
      <c r="H29" s="80" t="n">
        <v>1836</v>
      </c>
      <c r="I29" s="80" t="n">
        <v>3068</v>
      </c>
      <c r="J29" s="80" t="n">
        <v>1800</v>
      </c>
      <c r="K29" s="80" t="n">
        <v>2808</v>
      </c>
      <c r="L29" s="81" t="n">
        <v>1890</v>
      </c>
      <c r="M29" s="81" t="n">
        <v>3510</v>
      </c>
      <c r="N29" s="81" t="n">
        <v>1980</v>
      </c>
      <c r="O29" s="81" t="n">
        <v>3380</v>
      </c>
      <c r="P29" s="82" t="n">
        <v>2340</v>
      </c>
      <c r="Q29" s="82" t="n">
        <v>4030</v>
      </c>
      <c r="R29" s="78" t="inlineStr">
        <is>
          <t>-</t>
        </is>
      </c>
      <c r="S29" s="78" t="inlineStr">
        <is>
          <t>see scope rate</t>
        </is>
      </c>
      <c r="T29" s="78" t="inlineStr">
        <is>
          <t>60-90</t>
        </is>
      </c>
      <c r="U29" s="78" t="inlineStr">
        <is>
          <t>Included</t>
        </is>
      </c>
      <c r="V29" s="78" t="inlineStr">
        <is>
          <t>78%</t>
        </is>
      </c>
      <c r="W29" s="59" t="inlineStr">
        <is>
          <t>Heavy lift; 4hr min call-out</t>
        </is>
      </c>
    </row>
    <row r="30" ht="25.5" customHeight="1" s="56">
      <c r="A30" s="78" t="inlineStr">
        <is>
          <t>MI</t>
        </is>
      </c>
      <c r="B30" s="59" t="inlineStr">
        <is>
          <t>Rock breaker / hyd hammer</t>
        </is>
      </c>
      <c r="C30" s="78" t="inlineStr">
        <is>
          <t>Cat 345 + hammer</t>
        </is>
      </c>
      <c r="D30" s="79" t="n">
        <v>442</v>
      </c>
      <c r="E30" s="79" t="n">
        <v>651</v>
      </c>
      <c r="F30" s="79" t="n">
        <v>422</v>
      </c>
      <c r="G30" s="79" t="n">
        <v>632</v>
      </c>
      <c r="H30" s="80" t="n">
        <v>490</v>
      </c>
      <c r="I30" s="80" t="n">
        <v>732</v>
      </c>
      <c r="J30" s="80" t="n">
        <v>480</v>
      </c>
      <c r="K30" s="80" t="n">
        <v>670</v>
      </c>
      <c r="L30" s="81" t="n">
        <v>504</v>
      </c>
      <c r="M30" s="81" t="n">
        <v>837</v>
      </c>
      <c r="N30" s="81" t="n">
        <v>528</v>
      </c>
      <c r="O30" s="81" t="n">
        <v>806</v>
      </c>
      <c r="P30" s="82" t="n">
        <v>624</v>
      </c>
      <c r="Q30" s="82" t="n">
        <v>961</v>
      </c>
      <c r="R30" s="78" t="inlineStr">
        <is>
          <t>-</t>
        </is>
      </c>
      <c r="S30" s="78" t="inlineStr">
        <is>
          <t>see scope rate</t>
        </is>
      </c>
      <c r="T30" s="78" t="inlineStr">
        <is>
          <t>28-40</t>
        </is>
      </c>
      <c r="U30" s="78" t="inlineStr">
        <is>
          <t>Required</t>
        </is>
      </c>
      <c r="V30" s="78" t="inlineStr">
        <is>
          <t>80%</t>
        </is>
      </c>
      <c r="W30" s="59" t="inlineStr">
        <is>
          <t>Rock fragmentation</t>
        </is>
      </c>
    </row>
    <row r="31" ht="25.5" customHeight="1" s="56">
      <c r="A31" s="78" t="inlineStr">
        <is>
          <t>MI</t>
        </is>
      </c>
      <c r="B31" s="59" t="inlineStr">
        <is>
          <t>Air compressor diesel</t>
        </is>
      </c>
      <c r="C31" s="78" t="inlineStr">
        <is>
          <t>375 cfm</t>
        </is>
      </c>
      <c r="D31" s="79" t="n">
        <v>69</v>
      </c>
      <c r="E31" s="79" t="n">
        <v>116</v>
      </c>
      <c r="F31" s="79" t="n">
        <v>66</v>
      </c>
      <c r="G31" s="79" t="n">
        <v>112</v>
      </c>
      <c r="H31" s="80" t="n">
        <v>76</v>
      </c>
      <c r="I31" s="80" t="n">
        <v>130</v>
      </c>
      <c r="J31" s="80" t="n">
        <v>75</v>
      </c>
      <c r="K31" s="80" t="n">
        <v>119</v>
      </c>
      <c r="L31" s="81" t="n">
        <v>79</v>
      </c>
      <c r="M31" s="81" t="n">
        <v>148</v>
      </c>
      <c r="N31" s="81" t="n">
        <v>82</v>
      </c>
      <c r="O31" s="81" t="n">
        <v>143</v>
      </c>
      <c r="P31" s="82" t="n">
        <v>98</v>
      </c>
      <c r="Q31" s="82" t="n">
        <v>170</v>
      </c>
      <c r="R31" s="78" t="inlineStr">
        <is>
          <t>-</t>
        </is>
      </c>
      <c r="S31" s="78" t="inlineStr">
        <is>
          <t>see scope rate</t>
        </is>
      </c>
      <c r="T31" s="78" t="inlineStr">
        <is>
          <t>12-18</t>
        </is>
      </c>
      <c r="U31" s="78" t="inlineStr">
        <is>
          <t>By truck</t>
        </is>
      </c>
      <c r="V31" s="78" t="inlineStr">
        <is>
          <t>90%</t>
        </is>
      </c>
      <c r="W31" s="59" t="inlineStr">
        <is>
          <t>Drill assist, pneumatics</t>
        </is>
      </c>
    </row>
    <row r="32" ht="25.5" customHeight="1" s="56">
      <c r="A32" s="78" t="inlineStr">
        <is>
          <t>MI</t>
        </is>
      </c>
      <c r="B32" s="59" t="inlineStr">
        <is>
          <t>Light tower diesel</t>
        </is>
      </c>
      <c r="C32" s="78" t="inlineStr">
        <is>
          <t>8-10 kW</t>
        </is>
      </c>
      <c r="D32" s="79" t="n">
        <v>32</v>
      </c>
      <c r="E32" s="79" t="n">
        <v>58</v>
      </c>
      <c r="F32" s="79" t="n">
        <v>31</v>
      </c>
      <c r="G32" s="79" t="n">
        <v>56</v>
      </c>
      <c r="H32" s="80" t="n">
        <v>36</v>
      </c>
      <c r="I32" s="80" t="n">
        <v>65</v>
      </c>
      <c r="J32" s="80" t="n">
        <v>35</v>
      </c>
      <c r="K32" s="80" t="n">
        <v>59</v>
      </c>
      <c r="L32" s="81" t="n">
        <v>37</v>
      </c>
      <c r="M32" s="81" t="n">
        <v>74</v>
      </c>
      <c r="N32" s="81" t="n">
        <v>38</v>
      </c>
      <c r="O32" s="81" t="n">
        <v>72</v>
      </c>
      <c r="P32" s="82" t="n">
        <v>46</v>
      </c>
      <c r="Q32" s="82" t="n">
        <v>85</v>
      </c>
      <c r="R32" s="78" t="inlineStr">
        <is>
          <t>-</t>
        </is>
      </c>
      <c r="S32" s="78" t="inlineStr">
        <is>
          <t>see scope rate</t>
        </is>
      </c>
      <c r="T32" s="78" t="inlineStr">
        <is>
          <t>5-8</t>
        </is>
      </c>
      <c r="U32" s="78" t="inlineStr">
        <is>
          <t>By truck</t>
        </is>
      </c>
      <c r="V32" s="78" t="inlineStr">
        <is>
          <t>95%</t>
        </is>
      </c>
      <c r="W32" s="59" t="inlineStr">
        <is>
          <t>Nightshift / portal safety</t>
        </is>
      </c>
    </row>
    <row r="33" ht="25.5" customHeight="1" s="56">
      <c r="A33" s="78" t="inlineStr">
        <is>
          <t>MI</t>
        </is>
      </c>
      <c r="B33" s="59" t="inlineStr">
        <is>
          <t>Fuel tanker site supply</t>
        </is>
      </c>
      <c r="C33" s="78" t="inlineStr">
        <is>
          <t>10,000L</t>
        </is>
      </c>
      <c r="D33" s="79" t="n">
        <v>166</v>
      </c>
      <c r="E33" s="79" t="n">
        <v>262</v>
      </c>
      <c r="F33" s="79" t="n">
        <v>158</v>
      </c>
      <c r="G33" s="79" t="n">
        <v>255</v>
      </c>
      <c r="H33" s="80" t="n">
        <v>184</v>
      </c>
      <c r="I33" s="80" t="n">
        <v>295</v>
      </c>
      <c r="J33" s="80" t="n">
        <v>180</v>
      </c>
      <c r="K33" s="80" t="n">
        <v>270</v>
      </c>
      <c r="L33" s="81" t="n">
        <v>189</v>
      </c>
      <c r="M33" s="81" t="n">
        <v>338</v>
      </c>
      <c r="N33" s="81" t="n">
        <v>198</v>
      </c>
      <c r="O33" s="81" t="n">
        <v>325</v>
      </c>
      <c r="P33" s="82" t="n">
        <v>234</v>
      </c>
      <c r="Q33" s="82" t="n">
        <v>388</v>
      </c>
      <c r="R33" s="78" t="inlineStr">
        <is>
          <t>-</t>
        </is>
      </c>
      <c r="S33" s="78" t="inlineStr">
        <is>
          <t>see scope rate</t>
        </is>
      </c>
      <c r="T33" s="78" t="inlineStr">
        <is>
          <t>30-40</t>
        </is>
      </c>
      <c r="U33" s="78" t="inlineStr">
        <is>
          <t>Required</t>
        </is>
      </c>
      <c r="V33" s="78" t="inlineStr">
        <is>
          <t>90%</t>
        </is>
      </c>
      <c r="W33" s="59" t="inlineStr">
        <is>
          <t>Operator included</t>
        </is>
      </c>
    </row>
    <row r="34" ht="25.5" customHeight="1" s="56">
      <c r="A34" s="78" t="inlineStr">
        <is>
          <t>MI</t>
        </is>
      </c>
      <c r="B34" s="59" t="inlineStr">
        <is>
          <t>Water truck dust suppression</t>
        </is>
      </c>
      <c r="C34" s="78" t="inlineStr">
        <is>
          <t>10,000L</t>
        </is>
      </c>
      <c r="D34" s="79" t="n">
        <v>147</v>
      </c>
      <c r="E34" s="79" t="n">
        <v>231</v>
      </c>
      <c r="F34" s="79" t="n">
        <v>141</v>
      </c>
      <c r="G34" s="79" t="n">
        <v>224</v>
      </c>
      <c r="H34" s="80" t="n">
        <v>163</v>
      </c>
      <c r="I34" s="80" t="n">
        <v>260</v>
      </c>
      <c r="J34" s="80" t="n">
        <v>160</v>
      </c>
      <c r="K34" s="80" t="n">
        <v>238</v>
      </c>
      <c r="L34" s="81" t="n">
        <v>168</v>
      </c>
      <c r="M34" s="81" t="n">
        <v>297</v>
      </c>
      <c r="N34" s="81" t="n">
        <v>176</v>
      </c>
      <c r="O34" s="81" t="n">
        <v>286</v>
      </c>
      <c r="P34" s="82" t="n">
        <v>208</v>
      </c>
      <c r="Q34" s="82" t="n">
        <v>341</v>
      </c>
      <c r="R34" s="78" t="inlineStr">
        <is>
          <t>-</t>
        </is>
      </c>
      <c r="S34" s="78" t="inlineStr">
        <is>
          <t>see scope rate</t>
        </is>
      </c>
      <c r="T34" s="78" t="inlineStr">
        <is>
          <t>30-40</t>
        </is>
      </c>
      <c r="U34" s="78" t="inlineStr">
        <is>
          <t>Required</t>
        </is>
      </c>
      <c r="V34" s="78" t="inlineStr">
        <is>
          <t>90%</t>
        </is>
      </c>
      <c r="W34" s="59" t="inlineStr">
        <is>
          <t>Operator included</t>
        </is>
      </c>
    </row>
    <row r="36" ht="15" customHeight="1" s="56">
      <c r="A36" s="89" t="inlineStr">
        <is>
          <t>EQUIPMENT CATEGORY KEY</t>
        </is>
      </c>
      <c r="B36" s="63" t="n"/>
      <c r="C36" s="63" t="n"/>
      <c r="D36" s="63" t="n"/>
      <c r="E36" s="63" t="n"/>
      <c r="F36" s="63" t="n"/>
      <c r="G36" s="63" t="n"/>
      <c r="H36" s="63" t="n"/>
      <c r="I36" s="63" t="n"/>
      <c r="J36" s="63" t="n"/>
      <c r="K36" s="63" t="n"/>
      <c r="L36" s="63" t="n"/>
      <c r="M36" s="63" t="n"/>
      <c r="N36" s="63" t="n"/>
      <c r="O36" s="63" t="n"/>
      <c r="P36" s="63" t="n"/>
      <c r="Q36" s="63" t="n"/>
      <c r="R36" s="63" t="n"/>
      <c r="S36" s="63" t="n"/>
      <c r="T36" s="63" t="n"/>
      <c r="U36" s="63" t="n"/>
      <c r="V36" s="63" t="n"/>
      <c r="W36" s="64" t="n"/>
    </row>
    <row r="37" ht="19.5" customHeight="1" s="56">
      <c r="A37" s="78" t="inlineStr">
        <is>
          <t>HT</t>
        </is>
      </c>
      <c r="B37" s="59" t="inlineStr">
        <is>
          <t>Hauling Trucks</t>
        </is>
      </c>
      <c r="C37" s="90" t="n"/>
      <c r="D37" s="90" t="n"/>
      <c r="E37" s="90" t="n"/>
      <c r="F37" s="90" t="n"/>
      <c r="G37" s="90" t="n"/>
      <c r="H37" s="90" t="n"/>
      <c r="I37" s="90" t="n"/>
      <c r="J37" s="90" t="n"/>
      <c r="K37" s="90" t="n"/>
      <c r="L37" s="90" t="n"/>
      <c r="M37" s="90" t="n"/>
      <c r="N37" s="90" t="n"/>
      <c r="O37" s="90" t="n"/>
      <c r="P37" s="90" t="n"/>
      <c r="Q37" s="90" t="n"/>
      <c r="R37" s="90" t="n"/>
      <c r="S37" s="90" t="n"/>
      <c r="T37" s="90" t="n"/>
      <c r="U37" s="90" t="n"/>
      <c r="V37" s="90" t="n"/>
      <c r="W37" s="91" t="n"/>
    </row>
    <row r="38" ht="19.5" customHeight="1" s="56">
      <c r="A38" s="78" t="inlineStr">
        <is>
          <t>EX</t>
        </is>
      </c>
      <c r="B38" s="59" t="inlineStr">
        <is>
          <t>Excavators</t>
        </is>
      </c>
      <c r="C38" s="90" t="n"/>
      <c r="D38" s="90" t="n"/>
      <c r="E38" s="90" t="n"/>
      <c r="F38" s="90" t="n"/>
      <c r="G38" s="90" t="n"/>
      <c r="H38" s="90" t="n"/>
      <c r="I38" s="90" t="n"/>
      <c r="J38" s="90" t="n"/>
      <c r="K38" s="90" t="n"/>
      <c r="L38" s="90" t="n"/>
      <c r="M38" s="90" t="n"/>
      <c r="N38" s="90" t="n"/>
      <c r="O38" s="90" t="n"/>
      <c r="P38" s="90" t="n"/>
      <c r="Q38" s="90" t="n"/>
      <c r="R38" s="90" t="n"/>
      <c r="S38" s="90" t="n"/>
      <c r="T38" s="90" t="n"/>
      <c r="U38" s="90" t="n"/>
      <c r="V38" s="90" t="n"/>
      <c r="W38" s="91" t="n"/>
    </row>
    <row r="39" ht="19.5" customHeight="1" s="56">
      <c r="A39" s="78" t="inlineStr">
        <is>
          <t>DO</t>
        </is>
      </c>
      <c r="B39" s="59" t="inlineStr">
        <is>
          <t>Dozers</t>
        </is>
      </c>
      <c r="C39" s="90" t="n"/>
      <c r="D39" s="90" t="n"/>
      <c r="E39" s="90" t="n"/>
      <c r="F39" s="90" t="n"/>
      <c r="G39" s="90" t="n"/>
      <c r="H39" s="90" t="n"/>
      <c r="I39" s="90" t="n"/>
      <c r="J39" s="90" t="n"/>
      <c r="K39" s="90" t="n"/>
      <c r="L39" s="90" t="n"/>
      <c r="M39" s="90" t="n"/>
      <c r="N39" s="90" t="n"/>
      <c r="O39" s="90" t="n"/>
      <c r="P39" s="90" t="n"/>
      <c r="Q39" s="90" t="n"/>
      <c r="R39" s="90" t="n"/>
      <c r="S39" s="90" t="n"/>
      <c r="T39" s="90" t="n"/>
      <c r="U39" s="90" t="n"/>
      <c r="V39" s="90" t="n"/>
      <c r="W39" s="91" t="n"/>
    </row>
    <row r="40" ht="19.5" customHeight="1" s="56">
      <c r="A40" s="78" t="inlineStr">
        <is>
          <t>GR</t>
        </is>
      </c>
      <c r="B40" s="59" t="inlineStr">
        <is>
          <t>Motor Graders</t>
        </is>
      </c>
      <c r="C40" s="90" t="n"/>
      <c r="D40" s="90" t="n"/>
      <c r="E40" s="90" t="n"/>
      <c r="F40" s="90" t="n"/>
      <c r="G40" s="90" t="n"/>
      <c r="H40" s="90" t="n"/>
      <c r="I40" s="90" t="n"/>
      <c r="J40" s="90" t="n"/>
      <c r="K40" s="90" t="n"/>
      <c r="L40" s="90" t="n"/>
      <c r="M40" s="90" t="n"/>
      <c r="N40" s="90" t="n"/>
      <c r="O40" s="90" t="n"/>
      <c r="P40" s="90" t="n"/>
      <c r="Q40" s="90" t="n"/>
      <c r="R40" s="90" t="n"/>
      <c r="S40" s="90" t="n"/>
      <c r="T40" s="90" t="n"/>
      <c r="U40" s="90" t="n"/>
      <c r="V40" s="90" t="n"/>
      <c r="W40" s="91" t="n"/>
    </row>
    <row r="41" ht="19.5" customHeight="1" s="56">
      <c r="A41" s="78" t="inlineStr">
        <is>
          <t>CP</t>
        </is>
      </c>
      <c r="B41" s="59" t="inlineStr">
        <is>
          <t>Compaction</t>
        </is>
      </c>
      <c r="C41" s="90" t="n"/>
      <c r="D41" s="90" t="n"/>
      <c r="E41" s="90" t="n"/>
      <c r="F41" s="90" t="n"/>
      <c r="G41" s="90" t="n"/>
      <c r="H41" s="90" t="n"/>
      <c r="I41" s="90" t="n"/>
      <c r="J41" s="90" t="n"/>
      <c r="K41" s="90" t="n"/>
      <c r="L41" s="90" t="n"/>
      <c r="M41" s="90" t="n"/>
      <c r="N41" s="90" t="n"/>
      <c r="O41" s="90" t="n"/>
      <c r="P41" s="90" t="n"/>
      <c r="Q41" s="90" t="n"/>
      <c r="R41" s="90" t="n"/>
      <c r="S41" s="90" t="n"/>
      <c r="T41" s="90" t="n"/>
      <c r="U41" s="90" t="n"/>
      <c r="V41" s="90" t="n"/>
      <c r="W41" s="91" t="n"/>
    </row>
    <row r="42" ht="19.5" customHeight="1" s="56">
      <c r="A42" s="78" t="inlineStr">
        <is>
          <t>WL</t>
        </is>
      </c>
      <c r="B42" s="59" t="inlineStr">
        <is>
          <t>Wheel Loaders</t>
        </is>
      </c>
      <c r="C42" s="90" t="n"/>
      <c r="D42" s="90" t="n"/>
      <c r="E42" s="90" t="n"/>
      <c r="F42" s="90" t="n"/>
      <c r="G42" s="90" t="n"/>
      <c r="H42" s="90" t="n"/>
      <c r="I42" s="90" t="n"/>
      <c r="J42" s="90" t="n"/>
      <c r="K42" s="90" t="n"/>
      <c r="L42" s="90" t="n"/>
      <c r="M42" s="90" t="n"/>
      <c r="N42" s="90" t="n"/>
      <c r="O42" s="90" t="n"/>
      <c r="P42" s="90" t="n"/>
      <c r="Q42" s="90" t="n"/>
      <c r="R42" s="90" t="n"/>
      <c r="S42" s="90" t="n"/>
      <c r="T42" s="90" t="n"/>
      <c r="U42" s="90" t="n"/>
      <c r="V42" s="90" t="n"/>
      <c r="W42" s="91" t="n"/>
    </row>
    <row r="43" ht="19.5" customHeight="1" s="56">
      <c r="A43" s="78" t="inlineStr">
        <is>
          <t>DR</t>
        </is>
      </c>
      <c r="B43" s="59" t="inlineStr">
        <is>
          <t>Drill Rigs</t>
        </is>
      </c>
      <c r="C43" s="90" t="n"/>
      <c r="D43" s="90" t="n"/>
      <c r="E43" s="90" t="n"/>
      <c r="F43" s="90" t="n"/>
      <c r="G43" s="90" t="n"/>
      <c r="H43" s="90" t="n"/>
      <c r="I43" s="90" t="n"/>
      <c r="J43" s="90" t="n"/>
      <c r="K43" s="90" t="n"/>
      <c r="L43" s="90" t="n"/>
      <c r="M43" s="90" t="n"/>
      <c r="N43" s="90" t="n"/>
      <c r="O43" s="90" t="n"/>
      <c r="P43" s="90" t="n"/>
      <c r="Q43" s="90" t="n"/>
      <c r="R43" s="90" t="n"/>
      <c r="S43" s="90" t="n"/>
      <c r="T43" s="90" t="n"/>
      <c r="U43" s="90" t="n"/>
      <c r="V43" s="90" t="n"/>
      <c r="W43" s="91" t="n"/>
    </row>
    <row r="44" ht="19.5" customHeight="1" s="56">
      <c r="A44" s="78" t="inlineStr">
        <is>
          <t>SK</t>
        </is>
      </c>
      <c r="B44" s="59" t="inlineStr">
        <is>
          <t>Skid Steers</t>
        </is>
      </c>
      <c r="C44" s="90" t="n"/>
      <c r="D44" s="90" t="n"/>
      <c r="E44" s="90" t="n"/>
      <c r="F44" s="90" t="n"/>
      <c r="G44" s="90" t="n"/>
      <c r="H44" s="90" t="n"/>
      <c r="I44" s="90" t="n"/>
      <c r="J44" s="90" t="n"/>
      <c r="K44" s="90" t="n"/>
      <c r="L44" s="90" t="n"/>
      <c r="M44" s="90" t="n"/>
      <c r="N44" s="90" t="n"/>
      <c r="O44" s="90" t="n"/>
      <c r="P44" s="90" t="n"/>
      <c r="Q44" s="90" t="n"/>
      <c r="R44" s="90" t="n"/>
      <c r="S44" s="90" t="n"/>
      <c r="T44" s="90" t="n"/>
      <c r="U44" s="90" t="n"/>
      <c r="V44" s="90" t="n"/>
      <c r="W44" s="91" t="n"/>
    </row>
    <row r="45" ht="19.5" customHeight="1" s="56">
      <c r="A45" s="78" t="inlineStr">
        <is>
          <t>WP</t>
        </is>
      </c>
      <c r="B45" s="59" t="inlineStr">
        <is>
          <t>Water Pumps</t>
        </is>
      </c>
      <c r="C45" s="90" t="n"/>
      <c r="D45" s="90" t="n"/>
      <c r="E45" s="90" t="n"/>
      <c r="F45" s="90" t="n"/>
      <c r="G45" s="90" t="n"/>
      <c r="H45" s="90" t="n"/>
      <c r="I45" s="90" t="n"/>
      <c r="J45" s="90" t="n"/>
      <c r="K45" s="90" t="n"/>
      <c r="L45" s="90" t="n"/>
      <c r="M45" s="90" t="n"/>
      <c r="N45" s="90" t="n"/>
      <c r="O45" s="90" t="n"/>
      <c r="P45" s="90" t="n"/>
      <c r="Q45" s="90" t="n"/>
      <c r="R45" s="90" t="n"/>
      <c r="S45" s="90" t="n"/>
      <c r="T45" s="90" t="n"/>
      <c r="U45" s="90" t="n"/>
      <c r="V45" s="90" t="n"/>
      <c r="W45" s="91" t="n"/>
    </row>
    <row r="46" ht="19.5" customHeight="1" s="56">
      <c r="A46" s="78" t="inlineStr">
        <is>
          <t>CR</t>
        </is>
      </c>
      <c r="B46" s="59" t="inlineStr">
        <is>
          <t>Cranes</t>
        </is>
      </c>
      <c r="C46" s="90" t="n"/>
      <c r="D46" s="90" t="n"/>
      <c r="E46" s="90" t="n"/>
      <c r="F46" s="90" t="n"/>
      <c r="G46" s="90" t="n"/>
      <c r="H46" s="90" t="n"/>
      <c r="I46" s="90" t="n"/>
      <c r="J46" s="90" t="n"/>
      <c r="K46" s="90" t="n"/>
      <c r="L46" s="90" t="n"/>
      <c r="M46" s="90" t="n"/>
      <c r="N46" s="90" t="n"/>
      <c r="O46" s="90" t="n"/>
      <c r="P46" s="90" t="n"/>
      <c r="Q46" s="90" t="n"/>
      <c r="R46" s="90" t="n"/>
      <c r="S46" s="90" t="n"/>
      <c r="T46" s="90" t="n"/>
      <c r="U46" s="90" t="n"/>
      <c r="V46" s="90" t="n"/>
      <c r="W46" s="91" t="n"/>
    </row>
    <row r="47" ht="19.5" customHeight="1" s="56">
      <c r="A47" s="78" t="inlineStr">
        <is>
          <t>MI</t>
        </is>
      </c>
      <c r="B47" s="59" t="inlineStr">
        <is>
          <t>Miscellaneous / Site Support</t>
        </is>
      </c>
      <c r="C47" s="90" t="n"/>
      <c r="D47" s="90" t="n"/>
      <c r="E47" s="90" t="n"/>
      <c r="F47" s="90" t="n"/>
      <c r="G47" s="90" t="n"/>
      <c r="H47" s="90" t="n"/>
      <c r="I47" s="90" t="n"/>
      <c r="J47" s="90" t="n"/>
      <c r="K47" s="90" t="n"/>
      <c r="L47" s="90" t="n"/>
      <c r="M47" s="90" t="n"/>
      <c r="N47" s="90" t="n"/>
      <c r="O47" s="90" t="n"/>
      <c r="P47" s="90" t="n"/>
      <c r="Q47" s="90" t="n"/>
      <c r="R47" s="90" t="n"/>
      <c r="S47" s="90" t="n"/>
      <c r="T47" s="90" t="n"/>
      <c r="U47" s="90" t="n"/>
      <c r="V47" s="90" t="n"/>
      <c r="W47" s="91" t="n"/>
    </row>
  </sheetData>
  <mergeCells count="21">
    <mergeCell ref="D3:G3"/>
    <mergeCell ref="B37:W37"/>
    <mergeCell ref="H3:K3"/>
    <mergeCell ref="B40:W40"/>
    <mergeCell ref="A3:C3"/>
    <mergeCell ref="A36:W36"/>
    <mergeCell ref="A1:W1"/>
    <mergeCell ref="B45:W45"/>
    <mergeCell ref="B41:W41"/>
    <mergeCell ref="B47:W47"/>
    <mergeCell ref="L3:O3"/>
    <mergeCell ref="B46:W46"/>
    <mergeCell ref="T3:V3"/>
    <mergeCell ref="R3:S3"/>
    <mergeCell ref="A2:W2"/>
    <mergeCell ref="B43:W43"/>
    <mergeCell ref="B39:W39"/>
    <mergeCell ref="P3:Q3"/>
    <mergeCell ref="B42:W42"/>
    <mergeCell ref="B44:W44"/>
    <mergeCell ref="B38:W3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71" customWidth="1" style="55" min="2" max="2"/>
    <col width="14.71" customWidth="1" style="55" min="3" max="4"/>
    <col width="60.71" customWidth="1" style="55" min="5" max="5"/>
  </cols>
  <sheetData>
    <row r="1" ht="25.5" customHeight="1" s="56">
      <c r="A1" s="57" t="inlineStr">
        <is>
          <t>REGIONAL ADJUSTOR FACTORS - Canada 2026</t>
        </is>
      </c>
    </row>
    <row r="2" ht="18" customHeight="1" s="56">
      <c r="A2" s="58" t="inlineStr">
        <is>
          <t>Multiplier on Canada-wide BASE rate (MB/SK is baseline = 1.00 factor). Apply to RMM Rev 5 SME ranges.</t>
        </is>
      </c>
    </row>
    <row r="3" ht="27.75" customHeight="1" s="56">
      <c r="A3" s="62" t="inlineStr">
        <is>
          <t>Code</t>
        </is>
      </c>
      <c r="B3" s="62" t="inlineStr">
        <is>
          <t>Region</t>
        </is>
      </c>
      <c r="C3" s="62" t="inlineStr">
        <is>
          <t>Factor Low</t>
        </is>
      </c>
      <c r="D3" s="62" t="inlineStr">
        <is>
          <t>Factor High</t>
        </is>
      </c>
      <c r="E3" s="62" t="inlineStr">
        <is>
          <t>Basis / Notes</t>
        </is>
      </c>
    </row>
    <row r="4" ht="21.75" customHeight="1" s="56">
      <c r="A4" s="78" t="inlineStr">
        <is>
          <t>NL</t>
        </is>
      </c>
      <c r="B4" s="59" t="inlineStr">
        <is>
          <t>Newfoundland &amp; Labrador</t>
        </is>
      </c>
      <c r="C4" s="92" t="n">
        <v>0.92</v>
      </c>
      <c r="D4" s="92" t="n">
        <v>1.05</v>
      </c>
      <c r="E4" s="59" t="inlineStr">
        <is>
          <t>Atlantic NL+Labrador. Tight labour pool (Stats Can Q1 2026 flagged Atlantic skill shortage); accessible coastal NL slightly above NS.</t>
        </is>
      </c>
    </row>
    <row r="5" ht="21.75" customHeight="1" s="56">
      <c r="A5" s="78" t="inlineStr">
        <is>
          <t>NS</t>
        </is>
      </c>
      <c r="B5" s="59" t="inlineStr">
        <is>
          <t>Nova Scotia (Atlantic accessible)</t>
        </is>
      </c>
      <c r="C5" s="92" t="n">
        <v>0.88</v>
      </c>
      <c r="D5" s="92" t="n">
        <v>1.02</v>
      </c>
      <c r="E5" s="59" t="inlineStr">
        <is>
          <t>Atlantic NS - accessible drive-in. Baseline for GHD Goldboro 2026 vendor pricing. Lower than mining-civil Tier 2 baseline because no remote camp.</t>
        </is>
      </c>
    </row>
    <row r="6" ht="21.75" customHeight="1" s="56">
      <c r="A6" s="78" t="inlineStr">
        <is>
          <t>NB</t>
        </is>
      </c>
      <c r="B6" s="59" t="inlineStr">
        <is>
          <t>New Brunswick</t>
        </is>
      </c>
      <c r="C6" s="92" t="n">
        <v>0.9</v>
      </c>
      <c r="D6" s="92" t="n">
        <v>1.05</v>
      </c>
      <c r="E6" s="59" t="inlineStr">
        <is>
          <t>New Brunswick - similar to NS. Slightly less competitive contractor pool.</t>
        </is>
      </c>
    </row>
    <row r="7" ht="21.75" customHeight="1" s="56">
      <c r="A7" s="78" t="inlineStr">
        <is>
          <t>QC</t>
        </is>
      </c>
      <c r="B7" s="59" t="inlineStr">
        <is>
          <t>Quebec (Montreal to N. Quebec)</t>
        </is>
      </c>
      <c r="C7" s="92" t="n">
        <v>1.03</v>
      </c>
      <c r="D7" s="92" t="n">
        <v>1.22</v>
      </c>
      <c r="E7" s="59" t="inlineStr">
        <is>
          <t>Quebec - Montreal close to ON; Northern QC (Chibougamau / James Bay) major remote premium.</t>
        </is>
      </c>
    </row>
    <row r="8" ht="21.75" customHeight="1" s="56">
      <c r="A8" s="78" t="inlineStr">
        <is>
          <t>ON</t>
        </is>
      </c>
      <c r="B8" s="59" t="inlineStr">
        <is>
          <t>Ontario (S. Ontario to N. ON)</t>
        </is>
      </c>
      <c r="C8" s="92" t="n">
        <v>1.02</v>
      </c>
      <c r="D8" s="92" t="n">
        <v>1.18</v>
      </c>
      <c r="E8" s="59" t="inlineStr">
        <is>
          <t>Greater Toronto / Ottawa baseline. Northern ON (Thunder Bay / Sudbury) similar to ON low.</t>
        </is>
      </c>
    </row>
    <row r="9" ht="21.75" customHeight="1" s="56">
      <c r="A9" s="78" t="inlineStr">
        <is>
          <t>MBSK</t>
        </is>
      </c>
      <c r="B9" s="59" t="inlineStr">
        <is>
          <t>Manitoba / Saskatchewan (baseline)</t>
        </is>
      </c>
      <c r="C9" s="92" t="n">
        <v>1</v>
      </c>
      <c r="D9" s="92" t="n">
        <v>1.08</v>
      </c>
      <c r="E9" s="59" t="inlineStr">
        <is>
          <t>Prairies - open shop market; baseline 1.00 for this manual.</t>
        </is>
      </c>
    </row>
    <row r="10" ht="21.75" customHeight="1" s="56">
      <c r="A10" s="78" t="inlineStr">
        <is>
          <t>AB</t>
        </is>
      </c>
      <c r="B10" s="59" t="inlineStr">
        <is>
          <t>Alberta (Edmonton to Oil Sands)</t>
        </is>
      </c>
      <c r="C10" s="92" t="n">
        <v>1.05</v>
      </c>
      <c r="D10" s="92" t="n">
        <v>1.35</v>
      </c>
      <c r="E10" s="59" t="inlineStr">
        <is>
          <t>Edmonton/Calgary mid-range; Oil Sands / Fort McMurray hits 1.35 ceiling.</t>
        </is>
      </c>
    </row>
    <row r="11" ht="21.75" customHeight="1" s="56">
      <c r="A11" s="78" t="inlineStr">
        <is>
          <t>BC</t>
        </is>
      </c>
      <c r="B11" s="59" t="inlineStr">
        <is>
          <t>British Columbia (Metro to Interior)</t>
        </is>
      </c>
      <c r="C11" s="92" t="n">
        <v>1.1</v>
      </c>
      <c r="D11" s="92" t="n">
        <v>1.3</v>
      </c>
      <c r="E11" s="59" t="inlineStr">
        <is>
          <t>Metro Vancouver labour premium (IBEW/UA rates). Northern BC + winter factor 1.30 ceiling.</t>
        </is>
      </c>
    </row>
    <row r="12" ht="21.75" customHeight="1" s="56">
      <c r="A12" s="78" t="inlineStr">
        <is>
          <t>YT</t>
        </is>
      </c>
      <c r="B12" s="59" t="inlineStr">
        <is>
          <t>Yukon / NWT / Nunavut (fly-in)</t>
        </is>
      </c>
      <c r="C12" s="92" t="n">
        <v>1.3</v>
      </c>
      <c r="D12" s="92" t="n">
        <v>1.55</v>
      </c>
      <c r="E12" s="59" t="inlineStr">
        <is>
          <t>Extreme remote; fly-in; northern allowances; sealift to NU coastal hits 1.55+.</t>
        </is>
      </c>
    </row>
  </sheetData>
  <mergeCells count="2">
    <mergeCell ref="A2:E2"/>
    <mergeCell ref="A1:E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71" customWidth="1" style="55" min="1" max="1"/>
    <col width="32.71" customWidth="1" style="55" min="2" max="2"/>
    <col width="90.70999999999999" customWidth="1" style="55" min="3" max="3"/>
  </cols>
  <sheetData>
    <row r="1" ht="25.5" customHeight="1" s="56">
      <c r="A1" s="57" t="inlineStr">
        <is>
          <t>BIDDER VETTING WORKFLOW - using this benchmark</t>
        </is>
      </c>
    </row>
    <row r="2" ht="18" customHeight="1" s="56">
      <c r="A2" s="58" t="inlineStr">
        <is>
          <t>How to use the Rate Schedule to push back on out-of-range bidder submissions.</t>
        </is>
      </c>
    </row>
    <row r="3" ht="24" customHeight="1" s="56">
      <c r="A3" s="62" t="inlineStr">
        <is>
          <t>Step</t>
        </is>
      </c>
      <c r="B3" s="62" t="inlineStr">
        <is>
          <t>Action</t>
        </is>
      </c>
      <c r="C3" s="62" t="inlineStr">
        <is>
          <t>Detail</t>
        </is>
      </c>
    </row>
    <row r="4" ht="49.5" customHeight="1" s="56">
      <c r="A4" s="78" t="n">
        <v>1</v>
      </c>
      <c r="B4" s="59" t="inlineStr">
        <is>
          <t>Issue this file with tender package</t>
        </is>
      </c>
      <c r="C4" s="59" t="inlineStr">
        <is>
          <t>Send to all bidders BEFORE they price. Makes clear what 2026 market data you're holding against their submission. Sets the tone that you have benchmark and will use it.</t>
        </is>
      </c>
    </row>
    <row r="5" ht="49.5" customHeight="1" s="56">
      <c r="A5" s="78" t="n">
        <v>2</v>
      </c>
      <c r="B5" s="59" t="inlineStr">
        <is>
          <t>Receive bidder submissions</t>
        </is>
      </c>
      <c r="C5" s="59" t="inlineStr">
        <is>
          <t>Each bidder fills the Goldboro / equivalent template. Pull each bidder's unit rate per line item.</t>
        </is>
      </c>
    </row>
    <row r="6" ht="49.5" customHeight="1" s="56">
      <c r="A6" s="78" t="n">
        <v>3</v>
      </c>
      <c r="B6" s="59" t="inlineStr">
        <is>
          <t>Open Tab '01 Rate Schedule'</t>
        </is>
      </c>
      <c r="C6" s="59" t="inlineStr">
        <is>
          <t>Find the corresponding canonical item. Read off the regional column matching the project location.</t>
        </is>
      </c>
    </row>
    <row r="7" ht="49.5" customHeight="1" s="56">
      <c r="A7" s="78" t="n">
        <v>4</v>
      </c>
      <c r="B7" s="59" t="inlineStr">
        <is>
          <t>Compare bidder rate vs your regional range</t>
        </is>
      </c>
      <c r="C7" s="59" t="inlineStr">
        <is>
          <t>If bidder rate is WITHIN your regional Low-High range → accept (within market). If OUTSIDE the range → continue.</t>
        </is>
      </c>
    </row>
    <row r="8" ht="49.5" customHeight="1" s="56">
      <c r="A8" s="78" t="n">
        <v>5</v>
      </c>
      <c r="B8" s="59" t="inlineStr">
        <is>
          <t>Check anchors before challenging</t>
        </is>
      </c>
      <c r="C8" s="59" t="inlineStr">
        <is>
          <t>If bidder rate is between your regional range AND the closest anchor (GHD Goldboro / AB UPA / bidder median from another tender) → it's defensible. If bidder rate is outside ALL anchors → flag for clarification.</t>
        </is>
      </c>
    </row>
    <row r="9" ht="49.5" customHeight="1" s="56">
      <c r="A9" s="78" t="n">
        <v>6</v>
      </c>
      <c r="B9" s="59" t="inlineStr">
        <is>
          <t>Compose clarification letter</t>
        </is>
      </c>
      <c r="C9" s="59" t="inlineStr">
        <is>
          <t>Use template: 'Item [X], your unit rate is $[Y]. Our 2026 benchmark range for [region] is $[Low]-$[High], supported by GHD Goldboro 2026 vendor quotes at $[Z] and Goldboro C5027 bidder median at $[W]. Please confirm scope is per spec and re-submit OR provide written justification for delta.'</t>
        </is>
      </c>
    </row>
    <row r="10" ht="49.5" customHeight="1" s="56">
      <c r="A10" s="78" t="n">
        <v>7</v>
      </c>
      <c r="B10" s="59" t="inlineStr">
        <is>
          <t>Track responses and re-level bids</t>
        </is>
      </c>
      <c r="C10" s="59" t="inlineStr">
        <is>
          <t>Build a simple deviations log. Re-level bids against normalized scope. The bidder with lowest re-leveled total + no scope drops = the right award.</t>
        </is>
      </c>
    </row>
    <row r="11" ht="49.5" customHeight="1" s="56">
      <c r="A11" s="78" t="n">
        <v>8</v>
      </c>
      <c r="B11" s="59" t="inlineStr">
        <is>
          <t>Update this benchmark after award</t>
        </is>
      </c>
      <c r="C11" s="59" t="inlineStr">
        <is>
          <t>Once a project closes, add the awarded rate as a new anchor. The benchmark gets stronger every project.</t>
        </is>
      </c>
    </row>
  </sheetData>
  <mergeCells count="2">
    <mergeCell ref="A1:C1"/>
    <mergeCell ref="A2:C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5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71" customWidth="1" style="55" min="1" max="1"/>
    <col width="50.71" customWidth="1" style="55" min="2" max="3"/>
    <col width="30.71" customWidth="1" style="55" min="4" max="4"/>
  </cols>
  <sheetData>
    <row r="1" ht="25.5" customHeight="1" s="56">
      <c r="A1" s="57" t="inlineStr">
        <is>
          <t>SOURCES &amp; METHODOLOGY - Source Provenance and Data References</t>
        </is>
      </c>
    </row>
    <row r="2" ht="18" customHeight="1" s="56">
      <c r="A2" s="58" t="inlineStr">
        <is>
          <t>Cite-able provenance for every figure in this workbook. Defensibility under Ausenco / NexGold / EPCM review.</t>
        </is>
      </c>
    </row>
    <row r="4" ht="21.75" customHeight="1" s="56">
      <c r="A4" s="93" t="inlineStr">
        <is>
          <t>1. PRIMARY 2026 DATA SOURCES</t>
        </is>
      </c>
      <c r="B4" s="63" t="n"/>
      <c r="C4" s="63" t="n"/>
      <c r="D4" s="64" t="n"/>
    </row>
    <row r="5" ht="25.5" customHeight="1" s="56">
      <c r="A5" s="62" t="inlineStr">
        <is>
          <t>Source</t>
        </is>
      </c>
      <c r="B5" s="62" t="inlineStr">
        <is>
          <t>What it is</t>
        </is>
      </c>
      <c r="C5" s="62" t="inlineStr">
        <is>
          <t>URL / File reference</t>
        </is>
      </c>
      <c r="D5" s="62" t="inlineStr">
        <is>
          <t>Used in</t>
        </is>
      </c>
    </row>
    <row r="6" ht="42" customHeight="1" s="56">
      <c r="A6" s="59" t="inlineStr">
        <is>
          <t>Statistics Canada Q1 2026 BCPI</t>
        </is>
      </c>
      <c r="B6" s="59" t="inlineStr">
        <is>
          <t>Q1 2026 Building Construction Price Index release (Apr 28, 2026). Non-residential +3.6% YoY; +0.5% QoQ. Atlantic permit values +16.8%. Steel surtax impact flagged. Skilled labour shortage in Atlantic + Prairie.</t>
        </is>
      </c>
      <c r="C6" s="59" t="inlineStr">
        <is>
          <t>https://www150.statcan.gc.ca/n1/daily-quotidien/260428/dq260428b-eng.htm</t>
        </is>
      </c>
      <c r="D6" s="59" t="inlineStr">
        <is>
          <t>Sheet 03 regional context; escalation</t>
        </is>
      </c>
    </row>
    <row r="7" ht="42" customHeight="1" s="56">
      <c r="A7" s="59" t="inlineStr">
        <is>
          <t>Statistics Canada BCPI dataset</t>
        </is>
      </c>
      <c r="B7" s="59" t="inlineStr">
        <is>
          <t>Quarterly BCPI by metro by building type. Live data refresh.</t>
        </is>
      </c>
      <c r="C7" s="59" t="inlineStr">
        <is>
          <t>https://www150.statcan.gc.ca/t1/tbl1/en/tv.action?pid=1810028901</t>
        </is>
      </c>
      <c r="D7" s="59" t="inlineStr">
        <is>
          <t>Re-baseline trigger</t>
        </is>
      </c>
    </row>
    <row r="8" ht="42" customHeight="1" s="56">
      <c r="A8" s="59" t="inlineStr">
        <is>
          <t>Alberta Transportation 2026 UPA</t>
        </is>
      </c>
      <c r="B8" s="59" t="inlineStr">
        <is>
          <t>Weighted average of 3 low bids on highway tenders awarded May 1, 2024 – Sep 30, 2025. 190 priced items, regional breakdown. Public dataset (XLSX).</t>
        </is>
      </c>
      <c r="C8" s="59" t="inlineStr">
        <is>
          <t>https://www.alberta.ca/system/files/custom_downloaded_images/trans-unit-price-averages.xlsx</t>
        </is>
      </c>
      <c r="D8" s="59" t="inlineStr">
        <is>
          <t>Sheet 01 AB UPA anchor column</t>
        </is>
      </c>
    </row>
    <row r="9" ht="42" customHeight="1" s="56">
      <c r="A9" s="59" t="inlineStr">
        <is>
          <t>Alberta Transportation - Unit Prices &amp; Cost Adjustments page</t>
        </is>
      </c>
      <c r="B9" s="59" t="inlineStr">
        <is>
          <t>Live diesel cost adjustment tables (rack rates, Stats Can index).</t>
        </is>
      </c>
      <c r="C9" s="59" t="inlineStr">
        <is>
          <t>https://www.alberta.ca/unit-prices-and-cost-adjustments</t>
        </is>
      </c>
      <c r="D9" s="59" t="inlineStr">
        <is>
          <t>Diesel reference</t>
        </is>
      </c>
    </row>
    <row r="10" ht="42" customHeight="1" s="56">
      <c r="A10" s="59" t="inlineStr">
        <is>
          <t>BC Road Builders - Tender Report</t>
        </is>
      </c>
      <c r="B10" s="59" t="inlineStr">
        <is>
          <t>BC highway / civil tender awards (Peter's Bros, W.E. Stone, LaPrairie). Feb-Apr 2026 awards.</t>
        </is>
      </c>
      <c r="C10" s="59" t="inlineStr">
        <is>
          <t>https://www.roadbuilders.bc.ca/tender-report/</t>
        </is>
      </c>
      <c r="D10" s="59" t="inlineStr">
        <is>
          <t>BC cross-check</t>
        </is>
      </c>
    </row>
    <row r="11" ht="42" customHeight="1" s="56">
      <c r="A11" s="59" t="inlineStr">
        <is>
          <t>NRCan - Diesel Prices</t>
        </is>
      </c>
      <c r="B11" s="59" t="inlineStr">
        <is>
          <t>Weekly diesel pricing by region. Atlantic NS $2.13-$2.21/L; AB $1.68-$1.78/L; BC Metro $2.15-$2.35/L (May 2026).</t>
        </is>
      </c>
      <c r="C11" s="59" t="inlineStr">
        <is>
          <t>https://natural-resources.canada.ca/domestic-international-markets/diesel-prices</t>
        </is>
      </c>
      <c r="D11" s="59" t="inlineStr">
        <is>
          <t>Fuel cost calibration</t>
        </is>
      </c>
    </row>
    <row r="12" ht="42" customHeight="1" s="56">
      <c r="A12" s="59" t="inlineStr">
        <is>
          <t>Bank of Canada - Exchange Rates</t>
        </is>
      </c>
      <c r="B12" s="59" t="inlineStr">
        <is>
          <t>USD/CAD 1.36-1.37 (May 2026). Live daily.</t>
        </is>
      </c>
      <c r="C12" s="59" t="inlineStr">
        <is>
          <t>https://www.bankofcanada.ca/rates/exchange/</t>
        </is>
      </c>
      <c r="D12" s="59" t="inlineStr">
        <is>
          <t>FX basis for imported equipment / materials</t>
        </is>
      </c>
    </row>
    <row r="13" ht="42" customHeight="1" s="56">
      <c r="A13" s="59" t="inlineStr">
        <is>
          <t>CBSA - Surtax Notices</t>
        </is>
      </c>
      <c r="B13" s="59" t="inlineStr">
        <is>
          <t>Notices 24-26 and 25-22: 25% surtax on Chinese-origin structural steel and rebar (Oct 2024 ongoing).</t>
        </is>
      </c>
      <c r="C13" s="59" t="inlineStr">
        <is>
          <t>https://www.cbsa-asfc.gc.ca/</t>
        </is>
      </c>
      <c r="D13" s="59" t="inlineStr">
        <is>
          <t>Steel / rebar pricing risk</t>
        </is>
      </c>
    </row>
    <row r="14" ht="42" customHeight="1" s="56">
      <c r="A14" s="59" t="inlineStr">
        <is>
          <t>Provincial WCB Tables</t>
        </is>
      </c>
      <c r="B14" s="59" t="inlineStr">
        <is>
          <t>WCB / WSIB / CNESST / WorkSafeBC / WorkplaceNL labourer + driller rate groups.</t>
        </is>
      </c>
      <c r="C14" s="59" t="inlineStr">
        <is>
          <t>https://www.worksafebc.com/ / https://www.wcb.ab.ca/ / https://www.wsib.ca/ etc.</t>
        </is>
      </c>
      <c r="D14" s="59" t="inlineStr">
        <is>
          <t>Burden composite</t>
        </is>
      </c>
    </row>
    <row r="15" ht="42" customHeight="1" s="56">
      <c r="A15" s="59" t="inlineStr">
        <is>
          <t>CanadaBuys / MERX / SaskTenders / Manitoba Infrastructure</t>
        </is>
      </c>
      <c r="B15" s="59" t="inlineStr">
        <is>
          <t>Public procurement portals for cross-Canada tender data.</t>
        </is>
      </c>
      <c r="C15" s="59" t="inlineStr">
        <is>
          <t>https://canadabuys.canada.ca/ • https://www.merx.com/ • https://sasktenders.ca/ • https://www.gov.mb.ca/mti/contracts/bidresults.html</t>
        </is>
      </c>
      <c r="D15" s="59" t="inlineStr">
        <is>
          <t>Cross-Canada cross-check</t>
        </is>
      </c>
    </row>
    <row r="16" ht="42" customHeight="1" s="56">
      <c r="A16" s="59" t="inlineStr">
        <is>
          <t>Natural Resources Canada - Mining Capex</t>
        </is>
      </c>
      <c r="B16" s="59" t="inlineStr">
        <is>
          <t>Sectoral mining capex 2024-2025 macro context. $16.3B 2024, $16.5B 2025 outlook.</t>
        </is>
      </c>
      <c r="C16" s="59" t="inlineStr">
        <is>
          <t>https://natural-resources.canada.ca/minerals-mining/mining-data-statistics-analysis/minerals-mining-publications/capital-expenditures</t>
        </is>
      </c>
      <c r="D16" s="59" t="inlineStr">
        <is>
          <t>Macro market context</t>
        </is>
      </c>
    </row>
    <row r="17" ht="42" customHeight="1" s="56">
      <c r="A17" s="59" t="inlineStr">
        <is>
          <t>SEDAR+ - NI 43-101 Technical Reports</t>
        </is>
      </c>
      <c r="B17" s="59" t="inlineStr">
        <is>
          <t>Public mining feasibility study filings (Springpole, Madsen, etc.) with aggregate capex.</t>
        </is>
      </c>
      <c r="C17" s="59" t="inlineStr">
        <is>
          <t>https://www.sedarplus.ca/</t>
        </is>
      </c>
      <c r="D17" s="59" t="inlineStr">
        <is>
          <t>Aggregate capex sanity check</t>
        </is>
      </c>
    </row>
    <row r="19" ht="21.75" customHeight="1" s="56">
      <c r="A19" s="93" t="inlineStr">
        <is>
          <t>2. PROJECT-SPECIFIC SOURCES (Ausenco / NexGold Goldboro FS 2026)</t>
        </is>
      </c>
      <c r="B19" s="63" t="n"/>
      <c r="C19" s="63" t="n"/>
      <c r="D19" s="64" t="n"/>
    </row>
    <row r="20" ht="25.5" customHeight="1" s="56">
      <c r="A20" s="62" t="inlineStr">
        <is>
          <t>Source</t>
        </is>
      </c>
      <c r="B20" s="62" t="inlineStr">
        <is>
          <t>What it is</t>
        </is>
      </c>
      <c r="C20" s="62" t="inlineStr">
        <is>
          <t>Where it lives</t>
        </is>
      </c>
      <c r="D20" s="62" t="inlineStr">
        <is>
          <t>Used in</t>
        </is>
      </c>
    </row>
    <row r="21" ht="39.75" customHeight="1" s="56">
      <c r="A21" s="59" t="inlineStr">
        <is>
          <t>GHD Goldboro Project FS - Road &amp; Pad MTO Table (Apr 14, 2026)</t>
        </is>
      </c>
      <c r="B21" s="59" t="inlineStr">
        <is>
          <t>Rates tab: 1,399 rows / 832 unique priced items. Vendor-quoted from Dexter (earthworks), Armtec (CSP culverts), Atlantic Poly Liner (geomembrane), Fontaine (sluice gates), KSB (pumps).</t>
        </is>
      </c>
      <c r="C21" s="59" t="inlineStr">
        <is>
          <t>Author file (proprietary, NDA basis)</t>
        </is>
      </c>
      <c r="D21" s="59" t="inlineStr">
        <is>
          <t>Sheet 01 'GHD Goldboro 2026' anchor column (96 of 180 items matched)</t>
        </is>
      </c>
    </row>
    <row r="22" ht="39.75" customHeight="1" s="56">
      <c r="A22" s="59" t="inlineStr">
        <is>
          <t>GHD Goldboro Project FS - SW MTO Table (Apr 14, 2026)</t>
        </is>
      </c>
      <c r="B22" s="59" t="inlineStr">
        <is>
          <t>Stormwater MTO breakdown. Drainage and ESC scope.</t>
        </is>
      </c>
      <c r="C22" s="59" t="inlineStr">
        <is>
          <t>Author file (proprietary)</t>
        </is>
      </c>
      <c r="D22" s="59" t="inlineStr">
        <is>
          <t>Cross-ref for SWM items</t>
        </is>
      </c>
    </row>
    <row r="23" ht="39.75" customHeight="1" s="56">
      <c r="A23" s="59" t="inlineStr">
        <is>
          <t>GHD Goldboro CAPEX-SW Estimate (Apr 14, 2026)</t>
        </is>
      </c>
      <c r="B23" s="59" t="inlineStr">
        <is>
          <t>CAPEX + OPEX line entries. Indirects, EIP factors.</t>
        </is>
      </c>
      <c r="C23" s="59" t="inlineStr">
        <is>
          <t>Author file (proprietary)</t>
        </is>
      </c>
      <c r="D23" s="59" t="inlineStr">
        <is>
          <t>Indirect calibration</t>
        </is>
      </c>
    </row>
    <row r="24" ht="39.75" customHeight="1" s="56">
      <c r="A24" s="59" t="inlineStr">
        <is>
          <t>107206-EB-00000-31344-201_A - C5027 GHD/Ausenco MTO (Apr 14, 2026)</t>
        </is>
      </c>
      <c r="B24" s="59" t="inlineStr">
        <is>
          <t>GHD-format Material Take-Off with WBS, commodity codes, DOR. 1,009-row MTO tab.</t>
        </is>
      </c>
      <c r="C24" s="59" t="inlineStr">
        <is>
          <t>Author file (proprietary)</t>
        </is>
      </c>
      <c r="D24" s="59" t="inlineStr">
        <is>
          <t>Sheet 01 WBS / commodity code framework reference</t>
        </is>
      </c>
    </row>
    <row r="25" ht="39.75" customHeight="1" s="56">
      <c r="A25" s="59" t="inlineStr">
        <is>
          <t>Goldboro C5027 Bidder Submissions - Bird (April 2026)</t>
        </is>
      </c>
      <c r="B25" s="59" t="inlineStr">
        <is>
          <t>Bird Construction budgetary pricing submission on Ausenco-issued template. 835 line items / 702 priced.</t>
        </is>
      </c>
      <c r="C25" s="59" t="inlineStr">
        <is>
          <t>Author file (proprietary)</t>
        </is>
      </c>
      <c r="D25" s="59" t="inlineStr">
        <is>
          <t>Sheet 01 'Bidder Submissions' column</t>
        </is>
      </c>
    </row>
    <row r="26" ht="39.75" customHeight="1" s="56">
      <c r="A26" s="59" t="inlineStr">
        <is>
          <t>Goldboro C5027 Bidder Submissions - Dexter (April 2026)</t>
        </is>
      </c>
      <c r="B26" s="59" t="inlineStr">
        <is>
          <t>Dexter Construction budgetary pricing. 835 line items / 673 priced. Atlantic NS specialist.</t>
        </is>
      </c>
      <c r="C26" s="59" t="inlineStr">
        <is>
          <t>Author file (proprietary)</t>
        </is>
      </c>
      <c r="D26" s="59" t="inlineStr">
        <is>
          <t>Sheet 01 'Bidder Submissions' column</t>
        </is>
      </c>
    </row>
    <row r="27" ht="39.75" customHeight="1" s="56">
      <c r="A27" s="59" t="inlineStr">
        <is>
          <t>Goldboro C5027 Bidder Submissions - GIP (April 2026)</t>
        </is>
      </c>
      <c r="B27" s="59" t="inlineStr">
        <is>
          <t>Green Infrastructure Partners budgetary pricing. 835 line items / 670 priced.</t>
        </is>
      </c>
      <c r="C27" s="59" t="inlineStr">
        <is>
          <t>Author file (proprietary)</t>
        </is>
      </c>
      <c r="D27" s="59" t="inlineStr">
        <is>
          <t>Sheet 01 'Bidder Submissions' column</t>
        </is>
      </c>
    </row>
    <row r="28" ht="39.75" customHeight="1" s="56">
      <c r="A28" s="59" t="inlineStr">
        <is>
          <t>Goldboro C5027 Bidder Submissions - Greenfields (April 2026)</t>
        </is>
      </c>
      <c r="B28" s="59" t="inlineStr">
        <is>
          <t>Greenfield Mining / Greenfields budgetary pricing. 835 line items / 566 priced.</t>
        </is>
      </c>
      <c r="C28" s="59" t="inlineStr">
        <is>
          <t>Author file (proprietary)</t>
        </is>
      </c>
      <c r="D28" s="59" t="inlineStr">
        <is>
          <t>Sheet 01 'Bidder Submissions' column</t>
        </is>
      </c>
    </row>
    <row r="29" ht="39.75" customHeight="1" s="56">
      <c r="A29" s="59" t="inlineStr">
        <is>
          <t>Goldboro C5027 Bidder Submissions - Nova (April 2026)</t>
        </is>
      </c>
      <c r="B29" s="59" t="inlineStr">
        <is>
          <t>Nova Construction budgetary pricing. 835 line items / 634 priced. Atlantic NS contractor.</t>
        </is>
      </c>
      <c r="C29" s="59" t="inlineStr">
        <is>
          <t>Author file (proprietary)</t>
        </is>
      </c>
      <c r="D29" s="59" t="inlineStr">
        <is>
          <t>Sheet 01 'Bidder Submissions' column</t>
        </is>
      </c>
    </row>
    <row r="31" ht="21.75" customHeight="1" s="56">
      <c r="A31" s="93" t="inlineStr">
        <is>
          <t>3. AUTHOR / SME REFERENCES</t>
        </is>
      </c>
      <c r="B31" s="63" t="n"/>
      <c r="C31" s="63" t="n"/>
      <c r="D31" s="64" t="n"/>
    </row>
    <row r="32" ht="25.5" customHeight="1" s="56">
      <c r="A32" s="62" t="inlineStr">
        <is>
          <t>Source</t>
        </is>
      </c>
      <c r="B32" s="62" t="inlineStr">
        <is>
          <t>What it is</t>
        </is>
      </c>
      <c r="C32" s="62" t="inlineStr">
        <is>
          <t>Where it lives</t>
        </is>
      </c>
      <c r="D32" s="62" t="inlineStr">
        <is>
          <t>Used in</t>
        </is>
      </c>
    </row>
    <row r="33" ht="39.75" customHeight="1" s="56">
      <c r="A33" s="59" t="inlineStr">
        <is>
          <t>RMM Rev 5 Full Manual (RMM-CIVIL-CANADA-2026-MANUAL-REV5.xlsx)</t>
        </is>
      </c>
      <c r="B33" s="59" t="inlineStr">
        <is>
          <t>Author's full 28-tab estimating standard: crews, labour, equipment, build-ups, indirects, escalation lanes, productivity factors, regional matrix, burden composite, Goldboro overlay tab, web sources tab.</t>
        </is>
      </c>
      <c r="C33" s="59" t="inlineStr">
        <is>
          <t>Sister file in same folder (RMM-CIVIL-CANADA-2026-MANUAL-REV5.xlsx)</t>
        </is>
      </c>
      <c r="D33" s="59" t="inlineStr">
        <is>
          <t>Methodology reference; this benchmark is operational distillation</t>
        </is>
      </c>
    </row>
    <row r="34" ht="39.75" customHeight="1" s="56">
      <c r="A34" s="59" t="inlineStr">
        <is>
          <t>Rick Miller Q2 2026 Market Intel - operator anchors</t>
        </is>
      </c>
      <c r="B34" s="59" t="inlineStr">
        <is>
          <t>Tandem dump truck $150/hr; 45T wiggle wagon $200/hr; crushing 'through the roof' = Rev 5 reset $18-$45/t on-site, $45-$70/t trucked-in.</t>
        </is>
      </c>
      <c r="C34" s="59" t="inlineStr">
        <is>
          <t>Author's own field intelligence</t>
        </is>
      </c>
      <c r="D34" s="59" t="inlineStr">
        <is>
          <t>Sheet 01 'Rick Anchor' column; Sheet 02 Equipment Rates</t>
        </is>
      </c>
    </row>
    <row r="35" ht="39.75" customHeight="1" s="56">
      <c r="A35" s="59" t="inlineStr">
        <is>
          <t>Ausenco go-by Q2-2020</t>
        </is>
      </c>
      <c r="B35" s="59" t="inlineStr">
        <is>
          <t>EPCM benchmark estimator baseline that RMM Rev 5 escalated to 2026.</t>
        </is>
      </c>
      <c r="C35" s="59" t="inlineStr">
        <is>
          <t>Author's reference (not for redistribution)</t>
        </is>
      </c>
      <c r="D35" s="59" t="inlineStr">
        <is>
          <t>Sheet 01 base rates pre-escalation</t>
        </is>
      </c>
    </row>
    <row r="37" ht="21.75" customHeight="1" s="56">
      <c r="A37" s="93" t="n"/>
    </row>
    <row r="38" ht="25.5" customHeight="1" s="56">
      <c r="A38" s="62" t="n"/>
      <c r="B38" s="62" t="n"/>
      <c r="C38" s="62" t="n"/>
      <c r="D38" s="62" t="n"/>
    </row>
    <row r="39" ht="49.5" customHeight="1" s="56">
      <c r="A39" s="59" t="n"/>
      <c r="B39" s="59" t="n"/>
      <c r="C39" s="59" t="n"/>
      <c r="D39" s="59" t="n"/>
    </row>
    <row r="40" ht="49.5" customHeight="1" s="56">
      <c r="A40" s="59" t="n"/>
      <c r="B40" s="59" t="n"/>
      <c r="C40" s="59" t="n"/>
      <c r="D40" s="59" t="n"/>
    </row>
    <row r="41" ht="49.5" customHeight="1" s="56">
      <c r="A41" s="59" t="n"/>
      <c r="B41" s="59" t="n"/>
      <c r="C41" s="59" t="n"/>
      <c r="D41" s="59" t="n"/>
    </row>
    <row r="43" ht="21.75" customHeight="1" s="56">
      <c r="A43" s="93" t="inlineStr">
        <is>
          <t>4. METHODOLOGY NOTES</t>
        </is>
      </c>
      <c r="B43" s="63" t="n"/>
      <c r="C43" s="63" t="n"/>
      <c r="D43" s="64" t="n"/>
    </row>
    <row r="44" ht="25.5" customHeight="1" s="56">
      <c r="A44" s="62" t="inlineStr">
        <is>
          <t>Aspect</t>
        </is>
      </c>
      <c r="B44" s="62" t="inlineStr">
        <is>
          <t>Methodology</t>
        </is>
      </c>
      <c r="C44" s="62" t="n"/>
      <c r="D44" s="62" t="n"/>
    </row>
    <row r="45" ht="37.5" customHeight="1" s="56">
      <c r="A45" s="59" t="inlineStr">
        <is>
          <t>BASE RATE SOURCE</t>
        </is>
      </c>
      <c r="B45" s="59" t="inlineStr">
        <is>
          <t>Each canonical scope item carries a Canada-wide base low/high range drawn from RMM Rev 5 Sheet 08 SoR Master. Base = MB/SK baseline.</t>
        </is>
      </c>
      <c r="C45" s="90" t="n"/>
      <c r="D45" s="91" t="n"/>
    </row>
    <row r="46" ht="37.5" customHeight="1" s="56">
      <c r="A46" s="59" t="inlineStr">
        <is>
          <t>REGIONAL ADJUSTMENT</t>
        </is>
      </c>
      <c r="B46" s="59" t="inlineStr">
        <is>
          <t>Base rate multiplied by regional factor per Sheet 03: NL 0.92-1.05; NS 0.88-1.02; ON 1.02-1.18; MB/SK 1.00-1.08; AB 1.05-1.35; BC 1.10-1.30; YT/NWT 1.30-1.55.</t>
        </is>
      </c>
      <c r="C46" s="90" t="n"/>
      <c r="D46" s="91" t="n"/>
    </row>
    <row r="47" ht="37.5" customHeight="1" s="56">
      <c r="A47" s="59" t="inlineStr">
        <is>
          <t>GHD GOLDBORO MATCHING</t>
        </is>
      </c>
      <c r="B47" s="59" t="inlineStr">
        <is>
          <t>Item descriptions keyword-matched (≥2 token overlap) against GHD Goldboro 832-item priced list. Where match found, GHD unit capex shown as anchor.</t>
        </is>
      </c>
      <c r="C47" s="90" t="n"/>
      <c r="D47" s="91" t="n"/>
    </row>
    <row r="48" ht="37.5" customHeight="1" s="56">
      <c r="A48" s="59" t="inlineStr">
        <is>
          <t>BIDDER MATCHING</t>
        </is>
      </c>
      <c r="B48" s="59" t="inlineStr">
        <is>
          <t>Item descriptions keyword-matched (≥2 token overlap) against each of 5 bidders' MTO Earthworks submissions. Per-bidder median of top-3 matching items reported. Bidder Min / Median / Max computed across all 5 bidders' matched values.</t>
        </is>
      </c>
      <c r="C48" s="90" t="n"/>
      <c r="D48" s="91" t="n"/>
    </row>
    <row r="49" ht="37.5" customHeight="1" s="56">
      <c r="A49" s="59" t="inlineStr">
        <is>
          <t>AB UPA MATCHING</t>
        </is>
      </c>
      <c r="B49" s="59" t="inlineStr">
        <is>
          <t>Narrow keyword match against ~12 Alberta UPA items where the description is unambiguously equivalent (e.g. CSP culvert 900mm, Granular base course, Asphalt Superpave).</t>
        </is>
      </c>
      <c r="C49" s="90" t="n"/>
      <c r="D49" s="91" t="n"/>
    </row>
    <row r="50" ht="37.5" customHeight="1" s="56">
      <c r="A50" s="59" t="inlineStr">
        <is>
          <t>RICK ANCHOR</t>
        </is>
      </c>
      <c r="B50" s="59" t="inlineStr">
        <is>
          <t>Sparse population - only where author has provided specific Q2 2026 datapoints. Currently: crushing items (4 lines), tandem $150/hr, wiggle wagon $200/hr.</t>
        </is>
      </c>
      <c r="C50" s="90" t="n"/>
      <c r="D50" s="91" t="n"/>
    </row>
    <row r="51" ht="37.5" customHeight="1" s="56">
      <c r="A51" s="59" t="inlineStr">
        <is>
          <t>RECOMMENDED 2026</t>
        </is>
      </c>
      <c r="B51" s="59" t="inlineStr">
        <is>
          <t>Author's default working number = NS midpoint (Atlantic accessible drive-in). Project location-specific recommended value should override this default.</t>
        </is>
      </c>
      <c r="C51" s="90" t="n"/>
      <c r="D51" s="91" t="n"/>
    </row>
    <row r="52" ht="37.5" customHeight="1" s="56">
      <c r="A52" s="59" t="inlineStr">
        <is>
          <t>CONFIDENCE TIER</t>
        </is>
      </c>
      <c r="B52" s="59" t="inlineStr">
        <is>
          <t>Computed per section in Sheet 06 Coverage Summary: HIGH = ≥1.5 real anchors per item; MED = ≥0.5; LOW = &lt;0.5 (SME-only).</t>
        </is>
      </c>
      <c r="C52" s="90" t="n"/>
      <c r="D52" s="91" t="n"/>
    </row>
    <row r="53" ht="37.5" customHeight="1" s="56">
      <c r="A53" s="59" t="inlineStr">
        <is>
          <t>ESCALATION</t>
        </is>
      </c>
      <c r="B53" s="59" t="inlineStr">
        <is>
          <t>Base 2020 rates escalated to 2026 per discipline-specific lanes (Sheet 03 RMM Rev 5 Manual): Labour x1.22; Diesel x1.60; Steel x1.45; Rebar x1.45; HDPE x1.40; Concrete x1.23; Aggregate x1.20; Equipment x1.30. Composite x1.27.</t>
        </is>
      </c>
      <c r="C53" s="90" t="n"/>
      <c r="D53" s="91" t="n"/>
    </row>
    <row r="55" ht="21.75" customHeight="1" s="56">
      <c r="A55" s="93" t="inlineStr">
        <is>
          <t>5. REVISION HISTORY</t>
        </is>
      </c>
      <c r="B55" s="63" t="n"/>
      <c r="C55" s="63" t="n"/>
      <c r="D55" s="64" t="n"/>
    </row>
    <row r="56" ht="25.5" customHeight="1" s="56">
      <c r="A56" s="62" t="inlineStr">
        <is>
          <t>Rev</t>
        </is>
      </c>
      <c r="B56" s="62" t="inlineStr">
        <is>
          <t>Date</t>
        </is>
      </c>
      <c r="C56" s="62" t="inlineStr">
        <is>
          <t>Description</t>
        </is>
      </c>
      <c r="D56" s="62" t="inlineStr">
        <is>
          <t>Prepared</t>
        </is>
      </c>
    </row>
    <row r="57" ht="30" customHeight="1" s="56">
      <c r="A57" s="78" t="inlineStr">
        <is>
          <t>V1</t>
        </is>
      </c>
      <c r="B57" s="78" t="inlineStr">
        <is>
          <t>Q2 2026</t>
        </is>
      </c>
      <c r="C57" s="59" t="inlineStr">
        <is>
          <t>Initial release - 180 line items × 7 regions, 6 tabs.</t>
        </is>
      </c>
      <c r="D57" s="78" t="inlineStr">
        <is>
          <t>Rick Miller</t>
        </is>
      </c>
    </row>
    <row r="58" ht="30" customHeight="1" s="56">
      <c r="A58" s="78" t="inlineStr">
        <is>
          <t>V2</t>
        </is>
      </c>
      <c r="B58" s="78" t="inlineStr">
        <is>
          <t>Q2 2026</t>
        </is>
      </c>
      <c r="C58" s="59" t="inlineStr">
        <is>
          <t>Added: (a) Equipment Rates tab (30 items × 7 regions); (b) Sources &amp; Methodology with data references; (c) Ausenco/NexGold prepared-for note; (d) decimal rounding fix; (e) reorganized to 8 tabs.</t>
        </is>
      </c>
      <c r="D58" s="78" t="inlineStr">
        <is>
          <t>Rick Miller</t>
        </is>
      </c>
    </row>
    <row r="59" ht="57.45" customHeight="1" s="56">
      <c r="A59" s="94" t="inlineStr">
        <is>
          <t>V3</t>
        </is>
      </c>
      <c r="B59" s="95" t="inlineStr">
        <is>
          <t>Q2 2026</t>
        </is>
      </c>
      <c r="C59" s="96" t="inlineStr">
        <is>
          <t>Added: (a) Operational columns on Rate Schedule (Bidder Δ%, GHD Δ%, FLAG, Data QC); (b) Project Pricing rollup tab (paste quantities, get totals at Recommended rates); (c) Data Integrity QC tab (rates flagged where sources disagree &gt;100%). Editorial cleanup of section formatting.</t>
        </is>
      </c>
      <c r="D59" s="95" t="inlineStr">
        <is>
          <t>Rick Miller</t>
        </is>
      </c>
    </row>
  </sheetData>
  <mergeCells count="16">
    <mergeCell ref="A1:D1"/>
    <mergeCell ref="A31:D31"/>
    <mergeCell ref="B45:D45"/>
    <mergeCell ref="B46:D46"/>
    <mergeCell ref="B48:D48"/>
    <mergeCell ref="A4:D4"/>
    <mergeCell ref="B49:D49"/>
    <mergeCell ref="B50:D50"/>
    <mergeCell ref="A55:D55"/>
    <mergeCell ref="A43:D43"/>
    <mergeCell ref="B52:D52"/>
    <mergeCell ref="A19:D19"/>
    <mergeCell ref="A2:D2"/>
    <mergeCell ref="B53:D53"/>
    <mergeCell ref="B47:D47"/>
    <mergeCell ref="B51:D51"/>
  </mergeCells>
  <hyperlinks>
    <hyperlink xmlns:r="http://schemas.openxmlformats.org/officeDocument/2006/relationships" ref="C6" display="https://www150.statcan.gc.ca/n1/daily-quotidien/260428/dq260428b-eng.htm" r:id="rId1"/>
    <hyperlink xmlns:r="http://schemas.openxmlformats.org/officeDocument/2006/relationships" ref="C7" display="https://www150.statcan.gc.ca/t1/tbl1/en/tv.action?pid=1810028901" r:id="rId2"/>
    <hyperlink xmlns:r="http://schemas.openxmlformats.org/officeDocument/2006/relationships" ref="C8" display="https://www.alberta.ca/system/files/custom_downloaded_images/trans-unit-price-averages.xlsx" r:id="rId3"/>
    <hyperlink xmlns:r="http://schemas.openxmlformats.org/officeDocument/2006/relationships" ref="C9" display="https://www.alberta.ca/unit-prices-and-cost-adjustments" r:id="rId4"/>
    <hyperlink xmlns:r="http://schemas.openxmlformats.org/officeDocument/2006/relationships" ref="C10" display="https://www.roadbuilders.bc.ca/tender-report/" r:id="rId5"/>
    <hyperlink xmlns:r="http://schemas.openxmlformats.org/officeDocument/2006/relationships" ref="C11" display="https://natural-resources.canada.ca/domestic-international-markets/diesel-prices" r:id="rId6"/>
    <hyperlink xmlns:r="http://schemas.openxmlformats.org/officeDocument/2006/relationships" ref="C12" display="https://www.bankofcanada.ca/rates/exchange/" r:id="rId7"/>
    <hyperlink xmlns:r="http://schemas.openxmlformats.org/officeDocument/2006/relationships" ref="C13" display="https://www.cbsa-asfc.gc.ca/" r:id="rId8"/>
    <hyperlink xmlns:r="http://schemas.openxmlformats.org/officeDocument/2006/relationships" ref="C14" display="https://www.worksafebc.com/ / https://www.wcb.ab.ca/ / https://www.wsib.ca/ etc." r:id="rId9"/>
    <hyperlink xmlns:r="http://schemas.openxmlformats.org/officeDocument/2006/relationships" ref="C15" display="https://canadabuys.canada.ca/ • https://www.merx.com/ • https://sasktenders.ca/ • https://www.gov.mb.ca/mti/contracts/bidresults.html" r:id="rId10"/>
    <hyperlink xmlns:r="http://schemas.openxmlformats.org/officeDocument/2006/relationships" ref="C16" display="https://natural-resources.canada.ca/minerals-mining/mining-data-statistics-analysis/minerals-mining-publications/capital-expenditures" r:id="rId11"/>
    <hyperlink xmlns:r="http://schemas.openxmlformats.org/officeDocument/2006/relationships" ref="C17" display="https://www.sedarplus.ca/" r:id="rId12"/>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71" customWidth="1" style="55" min="1" max="1"/>
    <col width="14.71" customWidth="1" style="55" min="2" max="5"/>
  </cols>
  <sheetData>
    <row r="1" ht="25.5" customHeight="1" s="56">
      <c r="A1" s="57" t="inlineStr">
        <is>
          <t>COVERAGE BY SECTION</t>
        </is>
      </c>
    </row>
    <row r="2" ht="18" customHeight="1" s="56">
      <c r="A2" s="58" t="inlineStr">
        <is>
          <t>How many items have real anchor data vs SME-only - confidence tier per section.</t>
        </is>
      </c>
    </row>
    <row r="3" ht="27.75" customHeight="1" s="56">
      <c r="A3" s="62" t="inlineStr">
        <is>
          <t>Section</t>
        </is>
      </c>
      <c r="B3" s="62" t="inlineStr">
        <is>
          <t>Items</t>
        </is>
      </c>
      <c r="C3" s="62" t="inlineStr">
        <is>
          <t>GHD Anchor</t>
        </is>
      </c>
      <c r="D3" s="62" t="inlineStr">
        <is>
          <t>Bidder Data</t>
        </is>
      </c>
      <c r="E3" s="62" t="inlineStr">
        <is>
          <t>Confidence</t>
        </is>
      </c>
    </row>
    <row r="4" ht="24" customHeight="1" s="56">
      <c r="A4" s="59" t="inlineStr">
        <is>
          <t>A. Earthworks</t>
        </is>
      </c>
      <c r="B4" s="78" t="n">
        <v>15</v>
      </c>
      <c r="C4" s="78" t="n">
        <v>11</v>
      </c>
      <c r="D4" s="78" t="n">
        <v>13</v>
      </c>
      <c r="E4" s="78" t="inlineStr">
        <is>
          <t>HIGH</t>
        </is>
      </c>
    </row>
    <row r="5" ht="24" customHeight="1" s="56">
      <c r="A5" s="59" t="inlineStr">
        <is>
          <t>B. Water Mgmt</t>
        </is>
      </c>
      <c r="B5" s="78" t="n">
        <v>10</v>
      </c>
      <c r="C5" s="78" t="n">
        <v>8</v>
      </c>
      <c r="D5" s="78" t="n">
        <v>9</v>
      </c>
      <c r="E5" s="78" t="inlineStr">
        <is>
          <t>HIGH</t>
        </is>
      </c>
    </row>
    <row r="6" ht="24" customHeight="1" s="56">
      <c r="A6" s="59" t="inlineStr">
        <is>
          <t>C. Roads/Pads</t>
        </is>
      </c>
      <c r="B6" s="78" t="n">
        <v>8</v>
      </c>
      <c r="C6" s="78" t="n">
        <v>5</v>
      </c>
      <c r="D6" s="78" t="n">
        <v>4</v>
      </c>
      <c r="E6" s="78" t="inlineStr">
        <is>
          <t>MED</t>
        </is>
      </c>
    </row>
    <row r="7" ht="24" customHeight="1" s="56">
      <c r="A7" s="59" t="inlineStr">
        <is>
          <t>D. WRSA/TMF</t>
        </is>
      </c>
      <c r="B7" s="78" t="n">
        <v>8</v>
      </c>
      <c r="C7" s="78" t="n">
        <v>6</v>
      </c>
      <c r="D7" s="78" t="n">
        <v>5</v>
      </c>
      <c r="E7" s="78" t="inlineStr">
        <is>
          <t>MED</t>
        </is>
      </c>
    </row>
    <row r="8" ht="24" customHeight="1" s="56">
      <c r="A8" s="59" t="inlineStr">
        <is>
          <t>E. Drainage/Culverts</t>
        </is>
      </c>
      <c r="B8" s="78" t="n">
        <v>15</v>
      </c>
      <c r="C8" s="78" t="n">
        <v>11</v>
      </c>
      <c r="D8" s="78" t="n">
        <v>7</v>
      </c>
      <c r="E8" s="78" t="inlineStr">
        <is>
          <t>MED</t>
        </is>
      </c>
    </row>
    <row r="9" ht="24" customHeight="1" s="56">
      <c r="A9" s="59" t="inlineStr">
        <is>
          <t>F. Concrete</t>
        </is>
      </c>
      <c r="B9" s="78" t="n">
        <v>5</v>
      </c>
      <c r="C9" s="78" t="n">
        <v>3</v>
      </c>
      <c r="D9" s="78" t="n">
        <v>1</v>
      </c>
      <c r="E9" s="78" t="inlineStr">
        <is>
          <t>MED</t>
        </is>
      </c>
    </row>
    <row r="10" ht="24" customHeight="1" s="56">
      <c r="A10" s="59" t="inlineStr">
        <is>
          <t>G. Steel</t>
        </is>
      </c>
      <c r="B10" s="78" t="n">
        <v>8</v>
      </c>
      <c r="C10" s="78" t="n">
        <v>4</v>
      </c>
      <c r="D10" s="78" t="n">
        <v>3</v>
      </c>
      <c r="E10" s="78" t="inlineStr">
        <is>
          <t>MED</t>
        </is>
      </c>
    </row>
    <row r="11" ht="24" customHeight="1" s="56">
      <c r="A11" s="59" t="inlineStr">
        <is>
          <t>H. Closure</t>
        </is>
      </c>
      <c r="B11" s="78" t="n">
        <v>4</v>
      </c>
      <c r="C11" s="78" t="n">
        <v>3</v>
      </c>
      <c r="D11" s="78" t="n">
        <v>2</v>
      </c>
      <c r="E11" s="78" t="inlineStr">
        <is>
          <t>MED</t>
        </is>
      </c>
    </row>
    <row r="12" ht="24" customHeight="1" s="56">
      <c r="A12" s="59" t="inlineStr">
        <is>
          <t>I. Blasting</t>
        </is>
      </c>
      <c r="B12" s="78" t="n">
        <v>4</v>
      </c>
      <c r="C12" s="78" t="n">
        <v>2</v>
      </c>
      <c r="D12" s="78" t="n">
        <v>1</v>
      </c>
      <c r="E12" s="78" t="inlineStr">
        <is>
          <t>MED</t>
        </is>
      </c>
    </row>
    <row r="13" ht="24" customHeight="1" s="56">
      <c r="A13" s="59" t="inlineStr">
        <is>
          <t>J. Dewatering</t>
        </is>
      </c>
      <c r="B13" s="78" t="n">
        <v>5</v>
      </c>
      <c r="C13" s="78" t="n">
        <v>4</v>
      </c>
      <c r="D13" s="78" t="n">
        <v>1</v>
      </c>
      <c r="E13" s="78" t="inlineStr">
        <is>
          <t>MED</t>
        </is>
      </c>
    </row>
    <row r="14" ht="24" customHeight="1" s="56">
      <c r="A14" s="59" t="inlineStr">
        <is>
          <t>K. Buried Services</t>
        </is>
      </c>
      <c r="B14" s="78" t="n">
        <v>7</v>
      </c>
      <c r="C14" s="78" t="n">
        <v>6</v>
      </c>
      <c r="D14" s="78" t="n">
        <v>2</v>
      </c>
      <c r="E14" s="78" t="inlineStr">
        <is>
          <t>MED</t>
        </is>
      </c>
    </row>
    <row r="15" ht="24" customHeight="1" s="56">
      <c r="A15" s="59" t="inlineStr">
        <is>
          <t>L. Concrete Paving</t>
        </is>
      </c>
      <c r="B15" s="78" t="n">
        <v>3</v>
      </c>
      <c r="C15" s="78" t="n">
        <v>1</v>
      </c>
      <c r="D15" s="78" t="n">
        <v>1</v>
      </c>
      <c r="E15" s="78" t="inlineStr">
        <is>
          <t>MED</t>
        </is>
      </c>
    </row>
    <row r="16" ht="24" customHeight="1" s="56">
      <c r="A16" s="59" t="inlineStr">
        <is>
          <t>M. Fencing</t>
        </is>
      </c>
      <c r="B16" s="78" t="n">
        <v>4</v>
      </c>
      <c r="C16" s="78" t="n">
        <v>2</v>
      </c>
      <c r="D16" s="78" t="n">
        <v>0</v>
      </c>
      <c r="E16" s="78" t="inlineStr">
        <is>
          <t>MED</t>
        </is>
      </c>
    </row>
    <row r="17" ht="24" customHeight="1" s="56">
      <c r="A17" s="59" t="inlineStr">
        <is>
          <t>N. Signage/Traffic</t>
        </is>
      </c>
      <c r="B17" s="78" t="n">
        <v>2</v>
      </c>
      <c r="C17" s="78" t="n">
        <v>0</v>
      </c>
      <c r="D17" s="78" t="n">
        <v>0</v>
      </c>
      <c r="E17" s="78" t="inlineStr">
        <is>
          <t>LOW (SME only)</t>
        </is>
      </c>
    </row>
    <row r="18" ht="24" customHeight="1" s="56">
      <c r="A18" s="59" t="inlineStr">
        <is>
          <t>O. Rock Anchors</t>
        </is>
      </c>
      <c r="B18" s="78" t="n">
        <v>4</v>
      </c>
      <c r="C18" s="78" t="n">
        <v>2</v>
      </c>
      <c r="D18" s="78" t="n">
        <v>1</v>
      </c>
      <c r="E18" s="78" t="inlineStr">
        <is>
          <t>MED</t>
        </is>
      </c>
    </row>
    <row r="19" ht="24" customHeight="1" s="56">
      <c r="A19" s="59" t="inlineStr">
        <is>
          <t>P. Culvert Structures</t>
        </is>
      </c>
      <c r="B19" s="78" t="n">
        <v>3</v>
      </c>
      <c r="C19" s="78" t="n">
        <v>0</v>
      </c>
      <c r="D19" s="78" t="n">
        <v>0</v>
      </c>
      <c r="E19" s="78" t="inlineStr">
        <is>
          <t>LOW (SME only)</t>
        </is>
      </c>
    </row>
    <row r="20" ht="24" customHeight="1" s="56">
      <c r="A20" s="59" t="inlineStr">
        <is>
          <t>Q. Crushing</t>
        </is>
      </c>
      <c r="B20" s="78" t="n">
        <v>6</v>
      </c>
      <c r="C20" s="78" t="n">
        <v>2</v>
      </c>
      <c r="D20" s="78" t="n">
        <v>2</v>
      </c>
      <c r="E20" s="78" t="inlineStr">
        <is>
          <t>MED</t>
        </is>
      </c>
    </row>
    <row r="21" ht="24" customHeight="1" s="56">
      <c r="A21" s="59" t="inlineStr">
        <is>
          <t>R. Underground</t>
        </is>
      </c>
      <c r="B21" s="78" t="n">
        <v>7</v>
      </c>
      <c r="C21" s="78" t="n">
        <v>1</v>
      </c>
      <c r="D21" s="78" t="n">
        <v>1</v>
      </c>
      <c r="E21" s="78" t="inlineStr">
        <is>
          <t>LOW (SME only)</t>
        </is>
      </c>
    </row>
    <row r="22" ht="24" customHeight="1" s="56">
      <c r="A22" s="59" t="inlineStr">
        <is>
          <t>S. Tailings Dam</t>
        </is>
      </c>
      <c r="B22" s="78" t="n">
        <v>11</v>
      </c>
      <c r="C22" s="78" t="n">
        <v>3</v>
      </c>
      <c r="D22" s="78" t="n">
        <v>3</v>
      </c>
      <c r="E22" s="78" t="inlineStr">
        <is>
          <t>MED</t>
        </is>
      </c>
    </row>
    <row r="23" ht="24" customHeight="1" s="56">
      <c r="A23" s="59" t="inlineStr">
        <is>
          <t>T. Heap Leach</t>
        </is>
      </c>
      <c r="B23" s="78" t="n">
        <v>10</v>
      </c>
      <c r="C23" s="78" t="n">
        <v>8</v>
      </c>
      <c r="D23" s="78" t="n">
        <v>5</v>
      </c>
      <c r="E23" s="78" t="inlineStr">
        <is>
          <t>MED</t>
        </is>
      </c>
    </row>
    <row r="24" ht="24" customHeight="1" s="56">
      <c r="A24" s="59" t="inlineStr">
        <is>
          <t>U. Process Plant</t>
        </is>
      </c>
      <c r="B24" s="78" t="n">
        <v>11</v>
      </c>
      <c r="C24" s="78" t="n">
        <v>5</v>
      </c>
      <c r="D24" s="78" t="n">
        <v>1</v>
      </c>
      <c r="E24" s="78" t="inlineStr">
        <is>
          <t>MED</t>
        </is>
      </c>
    </row>
    <row r="25" ht="24" customHeight="1" s="56">
      <c r="A25" s="59" t="inlineStr">
        <is>
          <t>V. Pipeline</t>
        </is>
      </c>
      <c r="B25" s="78" t="n">
        <v>9</v>
      </c>
      <c r="C25" s="78" t="n">
        <v>4</v>
      </c>
      <c r="D25" s="78" t="n">
        <v>3</v>
      </c>
      <c r="E25" s="78" t="inlineStr">
        <is>
          <t>MED</t>
        </is>
      </c>
    </row>
    <row r="26" ht="24" customHeight="1" s="56">
      <c r="A26" s="59" t="inlineStr">
        <is>
          <t>W. Bridges</t>
        </is>
      </c>
      <c r="B26" s="78" t="n">
        <v>5</v>
      </c>
      <c r="C26" s="78" t="n">
        <v>2</v>
      </c>
      <c r="D26" s="78" t="n">
        <v>0</v>
      </c>
      <c r="E26" s="78" t="inlineStr">
        <is>
          <t>LOW (SME only)</t>
        </is>
      </c>
    </row>
    <row r="27" ht="24" customHeight="1" s="56">
      <c r="A27" s="59" t="inlineStr">
        <is>
          <t>X. Power Line</t>
        </is>
      </c>
      <c r="B27" s="78" t="n">
        <v>7</v>
      </c>
      <c r="C27" s="78" t="n">
        <v>1</v>
      </c>
      <c r="D27" s="78" t="n">
        <v>0</v>
      </c>
      <c r="E27" s="78" t="inlineStr">
        <is>
          <t>LOW (SME only)</t>
        </is>
      </c>
    </row>
    <row r="28" ht="24" customHeight="1" s="56">
      <c r="A28" s="59" t="inlineStr">
        <is>
          <t>Y. Hydraulic</t>
        </is>
      </c>
      <c r="B28" s="78" t="n">
        <v>9</v>
      </c>
      <c r="C28" s="78" t="n">
        <v>2</v>
      </c>
      <c r="D28" s="78" t="n">
        <v>2</v>
      </c>
      <c r="E28" s="78" t="inlineStr">
        <is>
          <t>LOW (SME only)</t>
        </is>
      </c>
    </row>
  </sheetData>
  <mergeCells count="2">
    <mergeCell ref="A2:E2"/>
    <mergeCell ref="A1:E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2:J217"/>
  <sheetViews>
    <sheetView showFormulas="0" showGridLines="1" showRowColHeaders="1" showZeros="1" rightToLeft="0" tabSelected="0" showOutlineSymbols="1" defaultGridColor="1"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baseColWidth="8" defaultColWidth="8.6796875" defaultRowHeight="15" zeroHeight="0" outlineLevelRow="0"/>
  <cols>
    <col width="12" customWidth="1" style="55" min="2" max="2"/>
    <col width="50" customWidth="1" style="55" min="3" max="3"/>
    <col width="7" customWidth="1" style="55" min="4" max="4"/>
    <col width="10" customWidth="1" style="55" min="5" max="5"/>
    <col width="12" customWidth="1" style="55" min="6" max="6"/>
    <col width="17" customWidth="1" style="55" min="7" max="7"/>
    <col width="13" customWidth="1" style="55" min="8" max="8"/>
    <col width="14" customWidth="1" style="55" min="9" max="9"/>
    <col width="10" customWidth="1" style="55" min="10" max="10"/>
  </cols>
  <sheetData>
    <row r="2" ht="24" customHeight="1" s="56">
      <c r="B2" s="97" t="inlineStr">
        <is>
          <t>PROJECT PRICING WORKSHEET - Quantities times Recommended Rates</t>
        </is>
      </c>
    </row>
    <row r="3" ht="49.5" customHeight="1" s="56">
      <c r="B3" s="98" t="inlineStr">
        <is>
          <t>Operational rollup tool. Enter project name, region, and quantities. Workbook returns Owner Opinion of Probable Cost at Recommended 2026 $/UOM rates from Sheet 01. Paste bidder unit rates alongside to see direct delta per line item and at project total. Use to set the owner estimate before issuing tender and to evaluate bid envelope after submissions arrive.</t>
        </is>
      </c>
    </row>
    <row r="5" ht="15" customHeight="1" s="56">
      <c r="B5" s="99" t="inlineStr">
        <is>
          <t>Project:</t>
        </is>
      </c>
      <c r="C5" s="100" t="inlineStr">
        <is>
          <t>[Enter project - e.g. Goldboro C5027 Civil, Green Bay Civil Package, Goderich Underground]</t>
        </is>
      </c>
      <c r="G5" s="99" t="inlineStr">
        <is>
          <t>Region:</t>
        </is>
      </c>
      <c r="H5" s="100" t="inlineStr">
        <is>
          <t>[Pick: NL / NS / NB / QC / ON / MB-SK / AB / BC / YT-NWT]</t>
        </is>
      </c>
    </row>
    <row r="6" ht="15" customHeight="1" s="56">
      <c r="B6" s="99" t="inlineStr">
        <is>
          <t>Bidder:</t>
        </is>
      </c>
      <c r="C6" s="100" t="inlineStr">
        <is>
          <t>[Enter bidder name - or leave blank for owner estimate only]</t>
        </is>
      </c>
      <c r="G6" s="99" t="inlineStr">
        <is>
          <t>Date:</t>
        </is>
      </c>
      <c r="H6" s="101" t="inlineStr">
        <is>
          <t>Q2 2026</t>
        </is>
      </c>
    </row>
    <row r="8" ht="24.75" customHeight="1" s="56">
      <c r="B8" s="72" t="inlineStr">
        <is>
          <t>Code</t>
        </is>
      </c>
      <c r="C8" s="72" t="inlineStr">
        <is>
          <t>Description</t>
        </is>
      </c>
      <c r="D8" s="72" t="inlineStr">
        <is>
          <t>UOM</t>
        </is>
      </c>
      <c r="E8" s="72" t="inlineStr">
        <is>
          <t>Qty</t>
        </is>
      </c>
      <c r="F8" s="72" t="inlineStr">
        <is>
          <t>REC $/UOM</t>
        </is>
      </c>
      <c r="G8" s="72" t="inlineStr">
        <is>
          <t>Owner Total at REC</t>
        </is>
      </c>
      <c r="H8" s="72" t="inlineStr">
        <is>
          <t>Bidder $/UOM</t>
        </is>
      </c>
      <c r="I8" s="72" t="inlineStr">
        <is>
          <t>Bidder Total</t>
        </is>
      </c>
      <c r="J8" s="72" t="inlineStr">
        <is>
          <t>Delta %</t>
        </is>
      </c>
    </row>
    <row r="9" ht="18" customHeight="1" s="56">
      <c r="B9" s="102" t="inlineStr">
        <is>
          <t xml:space="preserve">  A. Earthworks</t>
        </is>
      </c>
    </row>
    <row r="10" ht="15" customHeight="1" s="56">
      <c r="B10" s="95" t="inlineStr">
        <is>
          <t>C-10-004</t>
        </is>
      </c>
      <c r="C10" s="103" t="inlineStr">
        <is>
          <t>Backfill Type 1 (&lt;250mm) - spread and compact</t>
        </is>
      </c>
      <c r="D10" s="95" t="inlineStr">
        <is>
          <t>m3</t>
        </is>
      </c>
      <c r="E10" s="104" t="n">
        <v>0</v>
      </c>
      <c r="F10" s="105">
        <f>'01 Rate Schedule'!Y6</f>
        <v/>
      </c>
      <c r="G10" s="106">
        <f>IF(ISNUMBER(F10),E10*F10,0)</f>
        <v/>
      </c>
      <c r="H10" s="107" t="n">
        <v>0</v>
      </c>
      <c r="I10" s="106">
        <f>E10*H10</f>
        <v/>
      </c>
      <c r="J10" s="108">
        <f>IF(AND(ISNUMBER(F10),F10&gt;0,ISNUMBER(H10),H10&gt;0),(H10-F10)/F10,"")</f>
        <v/>
      </c>
    </row>
    <row r="11" ht="15" customHeight="1" s="56">
      <c r="B11" s="95" t="inlineStr">
        <is>
          <t>C-10-005</t>
        </is>
      </c>
      <c r="C11" s="103" t="inlineStr">
        <is>
          <t>Backfill Type 2 (&lt;100mm) - spread and compact</t>
        </is>
      </c>
      <c r="D11" s="95" t="inlineStr">
        <is>
          <t>m3</t>
        </is>
      </c>
      <c r="E11" s="104" t="n">
        <v>0</v>
      </c>
      <c r="F11" s="105">
        <f>'01 Rate Schedule'!Y7</f>
        <v/>
      </c>
      <c r="G11" s="106">
        <f>IF(ISNUMBER(F11),E11*F11,0)</f>
        <v/>
      </c>
      <c r="H11" s="107" t="n">
        <v>0</v>
      </c>
      <c r="I11" s="106">
        <f>E11*H11</f>
        <v/>
      </c>
      <c r="J11" s="108">
        <f>IF(AND(ISNUMBER(F11),F11&gt;0,ISNUMBER(H11),H11&gt;0),(H11-F11)/F11,"")</f>
        <v/>
      </c>
    </row>
    <row r="12" ht="15" customHeight="1" s="56">
      <c r="B12" s="95" t="inlineStr">
        <is>
          <t>C-10-006</t>
        </is>
      </c>
      <c r="C12" s="103" t="inlineStr">
        <is>
          <t>Backfill Type 3 engineered - spread and compact</t>
        </is>
      </c>
      <c r="D12" s="95" t="inlineStr">
        <is>
          <t>m3</t>
        </is>
      </c>
      <c r="E12" s="104" t="n">
        <v>0</v>
      </c>
      <c r="F12" s="105">
        <f>'01 Rate Schedule'!Y8</f>
        <v/>
      </c>
      <c r="G12" s="106">
        <f>IF(ISNUMBER(F12),E12*F12,0)</f>
        <v/>
      </c>
      <c r="H12" s="107" t="n">
        <v>0</v>
      </c>
      <c r="I12" s="106">
        <f>E12*H12</f>
        <v/>
      </c>
      <c r="J12" s="108">
        <f>IF(AND(ISNUMBER(F12),F12&gt;0,ISNUMBER(H12),H12&gt;0),(H12-F12)/F12,"")</f>
        <v/>
      </c>
    </row>
    <row r="13" ht="15" customHeight="1" s="56">
      <c r="B13" s="95" t="inlineStr">
        <is>
          <t>C-10-003</t>
        </is>
      </c>
      <c r="C13" s="103" t="inlineStr">
        <is>
          <t>Backfill common - spread and compact</t>
        </is>
      </c>
      <c r="D13" s="95" t="inlineStr">
        <is>
          <t>m3</t>
        </is>
      </c>
      <c r="E13" s="104" t="n">
        <v>0</v>
      </c>
      <c r="F13" s="105">
        <f>'01 Rate Schedule'!Y9</f>
        <v/>
      </c>
      <c r="G13" s="106">
        <f>IF(ISNUMBER(F13),E13*F13,0)</f>
        <v/>
      </c>
      <c r="H13" s="107" t="n">
        <v>0</v>
      </c>
      <c r="I13" s="106">
        <f>E13*H13</f>
        <v/>
      </c>
      <c r="J13" s="108">
        <f>IF(AND(ISNUMBER(F13),F13&gt;0,ISNUMBER(H13),H13&gt;0),(H13-F13)/F13,"")</f>
        <v/>
      </c>
    </row>
    <row r="14" ht="15" customHeight="1" s="56">
      <c r="B14" s="95" t="inlineStr">
        <is>
          <t>C-10-014</t>
        </is>
      </c>
      <c r="C14" s="103" t="inlineStr">
        <is>
          <t>Cut-fill balanced earthworks - large-scale</t>
        </is>
      </c>
      <c r="D14" s="95" t="inlineStr">
        <is>
          <t>m3</t>
        </is>
      </c>
      <c r="E14" s="104" t="n">
        <v>0</v>
      </c>
      <c r="F14" s="105">
        <f>'01 Rate Schedule'!Y10</f>
        <v/>
      </c>
      <c r="G14" s="106">
        <f>IF(ISNUMBER(F14),E14*F14,0)</f>
        <v/>
      </c>
      <c r="H14" s="107" t="n">
        <v>0</v>
      </c>
      <c r="I14" s="106">
        <f>E14*H14</f>
        <v/>
      </c>
      <c r="J14" s="108">
        <f>IF(AND(ISNUMBER(F14),F14&gt;0,ISNUMBER(H14),H14&gt;0),(H14-F14)/F14,"")</f>
        <v/>
      </c>
    </row>
    <row r="15" ht="15" customHeight="1" s="56">
      <c r="B15" s="95" t="inlineStr">
        <is>
          <t>C-10-016</t>
        </is>
      </c>
      <c r="C15" s="103" t="inlineStr">
        <is>
          <t>Drill and blast holes only - excavation separate</t>
        </is>
      </c>
      <c r="D15" s="95" t="inlineStr">
        <is>
          <t>m3</t>
        </is>
      </c>
      <c r="E15" s="104" t="n">
        <v>0</v>
      </c>
      <c r="F15" s="105">
        <f>'01 Rate Schedule'!Y11</f>
        <v/>
      </c>
      <c r="G15" s="106">
        <f>IF(ISNUMBER(F15),E15*F15,0)</f>
        <v/>
      </c>
      <c r="H15" s="107" t="n">
        <v>0</v>
      </c>
      <c r="I15" s="106">
        <f>E15*H15</f>
        <v/>
      </c>
      <c r="J15" s="108">
        <f>IF(AND(ISNUMBER(F15),F15&gt;0,ISNUMBER(H15),H15&gt;0),(H15-F15)/F15,"")</f>
        <v/>
      </c>
    </row>
    <row r="16" ht="15" customHeight="1" s="56">
      <c r="B16" s="95" t="inlineStr">
        <is>
          <t>C-10-002</t>
        </is>
      </c>
      <c r="C16" s="103" t="inlineStr">
        <is>
          <t>Excavation common soil - load + haul 1-3 km</t>
        </is>
      </c>
      <c r="D16" s="95" t="inlineStr">
        <is>
          <t>m3</t>
        </is>
      </c>
      <c r="E16" s="104" t="n">
        <v>0</v>
      </c>
      <c r="F16" s="105">
        <f>'01 Rate Schedule'!Y12</f>
        <v/>
      </c>
      <c r="G16" s="106">
        <f>IF(ISNUMBER(F16),E16*F16,0)</f>
        <v/>
      </c>
      <c r="H16" s="107" t="n">
        <v>0</v>
      </c>
      <c r="I16" s="106">
        <f>E16*H16</f>
        <v/>
      </c>
      <c r="J16" s="108">
        <f>IF(AND(ISNUMBER(F16),F16&gt;0,ISNUMBER(H16),H16&gt;0),(H16-F16)/F16,"")</f>
        <v/>
      </c>
    </row>
    <row r="17" ht="15" customHeight="1" s="56">
      <c r="B17" s="95" t="inlineStr">
        <is>
          <t>C-10-009</t>
        </is>
      </c>
      <c r="C17" s="103" t="inlineStr">
        <is>
          <t>Granular A base (&lt;19mm) - supply+place+compact</t>
        </is>
      </c>
      <c r="D17" s="95" t="inlineStr">
        <is>
          <t>m3</t>
        </is>
      </c>
      <c r="E17" s="104" t="n">
        <v>0</v>
      </c>
      <c r="F17" s="105">
        <f>'01 Rate Schedule'!Y13</f>
        <v/>
      </c>
      <c r="G17" s="106">
        <f>IF(ISNUMBER(F17),E17*F17,0)</f>
        <v/>
      </c>
      <c r="H17" s="107" t="n">
        <v>0</v>
      </c>
      <c r="I17" s="106">
        <f>E17*H17</f>
        <v/>
      </c>
      <c r="J17" s="108">
        <f>IF(AND(ISNUMBER(F17),F17&gt;0,ISNUMBER(H17),H17&gt;0),(H17-F17)/F17,"")</f>
        <v/>
      </c>
    </row>
    <row r="18" ht="15" customHeight="1" s="56">
      <c r="B18" s="95" t="inlineStr">
        <is>
          <t>C-10-010</t>
        </is>
      </c>
      <c r="C18" s="103" t="inlineStr">
        <is>
          <t>Granular B sub-base (&lt;75mm) - supply+place+compact</t>
        </is>
      </c>
      <c r="D18" s="95" t="inlineStr">
        <is>
          <t>m3</t>
        </is>
      </c>
      <c r="E18" s="104" t="n">
        <v>0</v>
      </c>
      <c r="F18" s="105">
        <f>'01 Rate Schedule'!Y14</f>
        <v/>
      </c>
      <c r="G18" s="106">
        <f>IF(ISNUMBER(F18),E18*F18,0)</f>
        <v/>
      </c>
      <c r="H18" s="107" t="n">
        <v>0</v>
      </c>
      <c r="I18" s="106">
        <f>E18*H18</f>
        <v/>
      </c>
      <c r="J18" s="108">
        <f>IF(AND(ISNUMBER(F18),F18&gt;0,ISNUMBER(H18),H18&gt;0),(H18-F18)/F18,"")</f>
        <v/>
      </c>
    </row>
    <row r="19" ht="15" customHeight="1" s="56">
      <c r="B19" s="95" t="inlineStr">
        <is>
          <t>C-10-008</t>
        </is>
      </c>
      <c r="C19" s="103" t="inlineStr">
        <is>
          <t>Overburden strip - doze + rip + stockpile</t>
        </is>
      </c>
      <c r="D19" s="95" t="inlineStr">
        <is>
          <t>m3</t>
        </is>
      </c>
      <c r="E19" s="104" t="n">
        <v>0</v>
      </c>
      <c r="F19" s="105">
        <f>'01 Rate Schedule'!Y15</f>
        <v/>
      </c>
      <c r="G19" s="106">
        <f>IF(ISNUMBER(F19),E19*F19,0)</f>
        <v/>
      </c>
      <c r="H19" s="107" t="n">
        <v>0</v>
      </c>
      <c r="I19" s="106">
        <f>E19*H19</f>
        <v/>
      </c>
      <c r="J19" s="108">
        <f>IF(AND(ISNUMBER(F19),F19&gt;0,ISNUMBER(H19),H19&gt;0),(H19-F19)/F19,"")</f>
        <v/>
      </c>
    </row>
    <row r="20" ht="15" customHeight="1" s="56">
      <c r="B20" s="95" t="inlineStr">
        <is>
          <t>C-10-007</t>
        </is>
      </c>
      <c r="C20" s="103" t="inlineStr">
        <is>
          <t>Rock excavation - blasted and loaded to truck</t>
        </is>
      </c>
      <c r="D20" s="95" t="inlineStr">
        <is>
          <t>m3</t>
        </is>
      </c>
      <c r="E20" s="104" t="n">
        <v>0</v>
      </c>
      <c r="F20" s="105">
        <f>'01 Rate Schedule'!Y16</f>
        <v/>
      </c>
      <c r="G20" s="106">
        <f>IF(ISNUMBER(F20),E20*F20,0)</f>
        <v/>
      </c>
      <c r="H20" s="107" t="n">
        <v>0</v>
      </c>
      <c r="I20" s="106">
        <f>E20*H20</f>
        <v/>
      </c>
      <c r="J20" s="108">
        <f>IF(AND(ISNUMBER(F20),F20&gt;0,ISNUMBER(H20),H20&gt;0),(H20-F20)/F20,"")</f>
        <v/>
      </c>
    </row>
    <row r="21" ht="15" customHeight="1" s="56">
      <c r="B21" s="95" t="inlineStr">
        <is>
          <t>C-10-011</t>
        </is>
      </c>
      <c r="C21" s="103" t="inlineStr">
        <is>
          <t>Sand bedding layer - supply+place+compact</t>
        </is>
      </c>
      <c r="D21" s="95" t="inlineStr">
        <is>
          <t>m3</t>
        </is>
      </c>
      <c r="E21" s="104" t="n">
        <v>0</v>
      </c>
      <c r="F21" s="105">
        <f>'01 Rate Schedule'!Y17</f>
        <v/>
      </c>
      <c r="G21" s="106">
        <f>IF(ISNUMBER(F21),E21*F21,0)</f>
        <v/>
      </c>
      <c r="H21" s="107" t="n">
        <v>0</v>
      </c>
      <c r="I21" s="106">
        <f>E21*H21</f>
        <v/>
      </c>
      <c r="J21" s="108">
        <f>IF(AND(ISNUMBER(F21),F21&gt;0,ISNUMBER(H21),H21&gt;0),(H21-F21)/F21,"")</f>
        <v/>
      </c>
    </row>
    <row r="22" ht="15" customHeight="1" s="56">
      <c r="B22" s="95" t="inlineStr">
        <is>
          <t>C-10-013</t>
        </is>
      </c>
      <c r="C22" s="103" t="inlineStr">
        <is>
          <t>Seeding and restoration - hydraulic</t>
        </is>
      </c>
      <c r="D22" s="95" t="inlineStr">
        <is>
          <t>m2</t>
        </is>
      </c>
      <c r="E22" s="104" t="n">
        <v>0</v>
      </c>
      <c r="F22" s="105">
        <f>'01 Rate Schedule'!Y18</f>
        <v/>
      </c>
      <c r="G22" s="106">
        <f>IF(ISNUMBER(F22),E22*F22,0)</f>
        <v/>
      </c>
      <c r="H22" s="107" t="n">
        <v>0</v>
      </c>
      <c r="I22" s="106">
        <f>E22*H22</f>
        <v/>
      </c>
      <c r="J22" s="108">
        <f>IF(AND(ISNUMBER(F22),F22&gt;0,ISNUMBER(H22),H22&gt;0),(H22-F22)/F22,"")</f>
        <v/>
      </c>
    </row>
    <row r="23" ht="15" customHeight="1" s="56">
      <c r="B23" s="95" t="inlineStr">
        <is>
          <t>C-10-015</t>
        </is>
      </c>
      <c r="C23" s="103" t="inlineStr">
        <is>
          <t>Settling pond / water management excavation</t>
        </is>
      </c>
      <c r="D23" s="95" t="inlineStr">
        <is>
          <t>m3</t>
        </is>
      </c>
      <c r="E23" s="104" t="n">
        <v>0</v>
      </c>
      <c r="F23" s="105">
        <f>'01 Rate Schedule'!Y19</f>
        <v/>
      </c>
      <c r="G23" s="106">
        <f>IF(ISNUMBER(F23),E23*F23,0)</f>
        <v/>
      </c>
      <c r="H23" s="107" t="n">
        <v>0</v>
      </c>
      <c r="I23" s="106">
        <f>E23*H23</f>
        <v/>
      </c>
      <c r="J23" s="108">
        <f>IF(AND(ISNUMBER(F23),F23&gt;0,ISNUMBER(H23),H23&gt;0),(H23-F23)/F23,"")</f>
        <v/>
      </c>
    </row>
    <row r="24" ht="15" customHeight="1" s="56">
      <c r="B24" s="95" t="inlineStr">
        <is>
          <t>C-10-012</t>
        </is>
      </c>
      <c r="C24" s="103" t="inlineStr">
        <is>
          <t>Topsoil placement - supply+spread</t>
        </is>
      </c>
      <c r="D24" s="95" t="inlineStr">
        <is>
          <t>m3</t>
        </is>
      </c>
      <c r="E24" s="104" t="n">
        <v>0</v>
      </c>
      <c r="F24" s="105">
        <f>'01 Rate Schedule'!Y20</f>
        <v/>
      </c>
      <c r="G24" s="106">
        <f>IF(ISNUMBER(F24),E24*F24,0)</f>
        <v/>
      </c>
      <c r="H24" s="107" t="n">
        <v>0</v>
      </c>
      <c r="I24" s="106">
        <f>E24*H24</f>
        <v/>
      </c>
      <c r="J24" s="108">
        <f>IF(AND(ISNUMBER(F24),F24&gt;0,ISNUMBER(H24),H24&gt;0),(H24-F24)/F24,"")</f>
        <v/>
      </c>
    </row>
    <row r="25" ht="18" customHeight="1" s="56">
      <c r="B25" s="102" t="inlineStr">
        <is>
          <t xml:space="preserve">  B. Water Mgmt</t>
        </is>
      </c>
    </row>
    <row r="26" ht="15" customHeight="1" s="56">
      <c r="B26" s="95" t="inlineStr">
        <is>
          <t>C-20-005</t>
        </is>
      </c>
      <c r="C26" s="103" t="inlineStr">
        <is>
          <t>Energy dissipator riprap - full S+P</t>
        </is>
      </c>
      <c r="D26" s="95" t="inlineStr">
        <is>
          <t>m3</t>
        </is>
      </c>
      <c r="E26" s="104" t="n">
        <v>0</v>
      </c>
      <c r="F26" s="105">
        <f>'01 Rate Schedule'!Y22</f>
        <v/>
      </c>
      <c r="G26" s="106">
        <f>IF(ISNUMBER(F26),E26*F26,0)</f>
        <v/>
      </c>
      <c r="H26" s="107" t="n">
        <v>0</v>
      </c>
      <c r="I26" s="106">
        <f>E26*H26</f>
        <v/>
      </c>
      <c r="J26" s="108">
        <f>IF(AND(ISNUMBER(F26),F26&gt;0,ISNUMBER(H26),H26&gt;0),(H26-F26)/F26,"")</f>
        <v/>
      </c>
    </row>
    <row r="27" ht="15" customHeight="1" s="56">
      <c r="B27" s="95" t="inlineStr">
        <is>
          <t>C-20-006</t>
        </is>
      </c>
      <c r="C27" s="103" t="inlineStr">
        <is>
          <t>Geotextile 10oz non-woven cushion - S+I</t>
        </is>
      </c>
      <c r="D27" s="95" t="inlineStr">
        <is>
          <t>m2</t>
        </is>
      </c>
      <c r="E27" s="104" t="n">
        <v>0</v>
      </c>
      <c r="F27" s="105">
        <f>'01 Rate Schedule'!Y23</f>
        <v/>
      </c>
      <c r="G27" s="106">
        <f>IF(ISNUMBER(F27),E27*F27,0)</f>
        <v/>
      </c>
      <c r="H27" s="107" t="n">
        <v>0</v>
      </c>
      <c r="I27" s="106">
        <f>E27*H27</f>
        <v/>
      </c>
      <c r="J27" s="108">
        <f>IF(AND(ISNUMBER(F27),F27&gt;0,ISNUMBER(H27),H27&gt;0),(H27-F27)/F27,"")</f>
        <v/>
      </c>
    </row>
    <row r="28" ht="15" customHeight="1" s="56">
      <c r="B28" s="95" t="inlineStr">
        <is>
          <t>C-20-007</t>
        </is>
      </c>
      <c r="C28" s="103" t="inlineStr">
        <is>
          <t>Geotextile 6oz non-woven separator - S+I</t>
        </is>
      </c>
      <c r="D28" s="95" t="inlineStr">
        <is>
          <t>m2</t>
        </is>
      </c>
      <c r="E28" s="104" t="n">
        <v>0</v>
      </c>
      <c r="F28" s="105">
        <f>'01 Rate Schedule'!Y24</f>
        <v/>
      </c>
      <c r="G28" s="106">
        <f>IF(ISNUMBER(F28),E28*F28,0)</f>
        <v/>
      </c>
      <c r="H28" s="107" t="n">
        <v>0</v>
      </c>
      <c r="I28" s="106">
        <f>E28*H28</f>
        <v/>
      </c>
      <c r="J28" s="108">
        <f>IF(AND(ISNUMBER(F28),F28&gt;0,ISNUMBER(H28),H28&gt;0),(H28-F28)/F28,"")</f>
        <v/>
      </c>
    </row>
    <row r="29" ht="15" customHeight="1" s="56">
      <c r="B29" s="95" t="inlineStr">
        <is>
          <t>C-20-002</t>
        </is>
      </c>
      <c r="C29" s="103" t="inlineStr">
        <is>
          <t>Riprap D50 150mm entrance/exit - supply+place</t>
        </is>
      </c>
      <c r="D29" s="95" t="inlineStr">
        <is>
          <t>m3</t>
        </is>
      </c>
      <c r="E29" s="104" t="n">
        <v>0</v>
      </c>
      <c r="F29" s="105">
        <f>'01 Rate Schedule'!Y25</f>
        <v/>
      </c>
      <c r="G29" s="106">
        <f>IF(ISNUMBER(F29),E29*F29,0)</f>
        <v/>
      </c>
      <c r="H29" s="107" t="n">
        <v>0</v>
      </c>
      <c r="I29" s="106">
        <f>E29*H29</f>
        <v/>
      </c>
      <c r="J29" s="108">
        <f>IF(AND(ISNUMBER(F29),F29&gt;0,ISNUMBER(H29),H29&gt;0),(H29-F29)/F29,"")</f>
        <v/>
      </c>
    </row>
    <row r="30" ht="15" customHeight="1" s="56">
      <c r="B30" s="95" t="inlineStr">
        <is>
          <t>C-20-003</t>
        </is>
      </c>
      <c r="C30" s="103" t="inlineStr">
        <is>
          <t>Riprap D50 300mm - supply+place</t>
        </is>
      </c>
      <c r="D30" s="95" t="inlineStr">
        <is>
          <t>m3</t>
        </is>
      </c>
      <c r="E30" s="104" t="n">
        <v>0</v>
      </c>
      <c r="F30" s="105">
        <f>'01 Rate Schedule'!Y26</f>
        <v/>
      </c>
      <c r="G30" s="106">
        <f>IF(ISNUMBER(F30),E30*F30,0)</f>
        <v/>
      </c>
      <c r="H30" s="107" t="n">
        <v>0</v>
      </c>
      <c r="I30" s="106">
        <f>E30*H30</f>
        <v/>
      </c>
      <c r="J30" s="108">
        <f>IF(AND(ISNUMBER(F30),F30&gt;0,ISNUMBER(H30),H30&gt;0),(H30-F30)/F30,"")</f>
        <v/>
      </c>
    </row>
    <row r="31" ht="15" customHeight="1" s="56">
      <c r="B31" s="95" t="inlineStr">
        <is>
          <t>C-20-004</t>
        </is>
      </c>
      <c r="C31" s="103" t="inlineStr">
        <is>
          <t>Riprap D50 600mm heavy - supply+place</t>
        </is>
      </c>
      <c r="D31" s="95" t="inlineStr">
        <is>
          <t>m3</t>
        </is>
      </c>
      <c r="E31" s="104" t="n">
        <v>0</v>
      </c>
      <c r="F31" s="105">
        <f>'01 Rate Schedule'!Y27</f>
        <v/>
      </c>
      <c r="G31" s="106">
        <f>IF(ISNUMBER(F31),E31*F31,0)</f>
        <v/>
      </c>
      <c r="H31" s="107" t="n">
        <v>0</v>
      </c>
      <c r="I31" s="106">
        <f>E31*H31</f>
        <v/>
      </c>
      <c r="J31" s="108">
        <f>IF(AND(ISNUMBER(F31),F31&gt;0,ISNUMBER(H31),H31&gt;0),(H31-F31)/F31,"")</f>
        <v/>
      </c>
    </row>
    <row r="32" ht="15" customHeight="1" s="56">
      <c r="B32" s="95" t="inlineStr">
        <is>
          <t>C-20-010</t>
        </is>
      </c>
      <c r="C32" s="103" t="inlineStr">
        <is>
          <t>Sediment dewatering bag - S+I</t>
        </is>
      </c>
      <c r="D32" s="95" t="inlineStr">
        <is>
          <t>ea</t>
        </is>
      </c>
      <c r="E32" s="104" t="n">
        <v>0</v>
      </c>
      <c r="F32" s="105">
        <f>'01 Rate Schedule'!Y28</f>
        <v/>
      </c>
      <c r="G32" s="106">
        <f>IF(ISNUMBER(F32),E32*F32,0)</f>
        <v/>
      </c>
      <c r="H32" s="107" t="n">
        <v>0</v>
      </c>
      <c r="I32" s="106">
        <f>E32*H32</f>
        <v/>
      </c>
      <c r="J32" s="108">
        <f>IF(AND(ISNUMBER(F32),F32&gt;0,ISNUMBER(H32),H32&gt;0),(H32-F32)/F32,"")</f>
        <v/>
      </c>
    </row>
    <row r="33" ht="15" customHeight="1" s="56">
      <c r="B33" s="95" t="inlineStr">
        <is>
          <t>C-20-008</t>
        </is>
      </c>
      <c r="C33" s="103" t="inlineStr">
        <is>
          <t>Silt fence heavy duty - supply+install</t>
        </is>
      </c>
      <c r="D33" s="95" t="inlineStr">
        <is>
          <t>m</t>
        </is>
      </c>
      <c r="E33" s="104" t="n">
        <v>0</v>
      </c>
      <c r="F33" s="105">
        <f>'01 Rate Schedule'!Y29</f>
        <v/>
      </c>
      <c r="G33" s="106">
        <f>IF(ISNUMBER(F33),E33*F33,0)</f>
        <v/>
      </c>
      <c r="H33" s="107" t="n">
        <v>0</v>
      </c>
      <c r="I33" s="106">
        <f>E33*H33</f>
        <v/>
      </c>
      <c r="J33" s="108">
        <f>IF(AND(ISNUMBER(F33),F33&gt;0,ISNUMBER(H33),H33&gt;0),(H33-F33)/F33,"")</f>
        <v/>
      </c>
    </row>
    <row r="34" ht="15" customHeight="1" s="56">
      <c r="B34" s="95" t="inlineStr">
        <is>
          <t>C-20-009</t>
        </is>
      </c>
      <c r="C34" s="103" t="inlineStr">
        <is>
          <t>Straw bale flow check dam - supply+install</t>
        </is>
      </c>
      <c r="D34" s="95" t="inlineStr">
        <is>
          <t>m</t>
        </is>
      </c>
      <c r="E34" s="104" t="n">
        <v>0</v>
      </c>
      <c r="F34" s="105">
        <f>'01 Rate Schedule'!Y30</f>
        <v/>
      </c>
      <c r="G34" s="106">
        <f>IF(ISNUMBER(F34),E34*F34,0)</f>
        <v/>
      </c>
      <c r="H34" s="107" t="n">
        <v>0</v>
      </c>
      <c r="I34" s="106">
        <f>E34*H34</f>
        <v/>
      </c>
      <c r="J34" s="108">
        <f>IF(AND(ISNUMBER(F34),F34&gt;0,ISNUMBER(H34),H34&gt;0),(H34-F34)/F34,"")</f>
        <v/>
      </c>
    </row>
    <row r="35" ht="15" customHeight="1" s="56">
      <c r="B35" s="95" t="inlineStr">
        <is>
          <t>C-20-011</t>
        </is>
      </c>
      <c r="C35" s="103" t="inlineStr">
        <is>
          <t>Temp pump diesel submersible 8-wk rental</t>
        </is>
      </c>
      <c r="D35" s="95" t="inlineStr">
        <is>
          <t>ea</t>
        </is>
      </c>
      <c r="E35" s="104" t="n">
        <v>0</v>
      </c>
      <c r="F35" s="105">
        <f>'01 Rate Schedule'!Y31</f>
        <v/>
      </c>
      <c r="G35" s="106">
        <f>IF(ISNUMBER(F35),E35*F35,0)</f>
        <v/>
      </c>
      <c r="H35" s="107" t="n">
        <v>0</v>
      </c>
      <c r="I35" s="106">
        <f>E35*H35</f>
        <v/>
      </c>
      <c r="J35" s="108">
        <f>IF(AND(ISNUMBER(F35),F35&gt;0,ISNUMBER(H35),H35&gt;0),(H35-F35)/F35,"")</f>
        <v/>
      </c>
    </row>
    <row r="36" ht="18" customHeight="1" s="56">
      <c r="B36" s="102" t="inlineStr">
        <is>
          <t xml:space="preserve">  C. Roads/Pads</t>
        </is>
      </c>
    </row>
    <row r="37" ht="15" customHeight="1" s="56">
      <c r="B37" s="95" t="inlineStr">
        <is>
          <t>C-30-005</t>
        </is>
      </c>
      <c r="C37" s="103" t="inlineStr">
        <is>
          <t>Asphalt paving 50mm HL3 surface course</t>
        </is>
      </c>
      <c r="D37" s="95" t="inlineStr">
        <is>
          <t>m2</t>
        </is>
      </c>
      <c r="E37" s="104" t="n">
        <v>0</v>
      </c>
      <c r="F37" s="105">
        <f>'01 Rate Schedule'!Y33</f>
        <v/>
      </c>
      <c r="G37" s="106">
        <f>IF(ISNUMBER(F37),E37*F37,0)</f>
        <v/>
      </c>
      <c r="H37" s="107" t="n">
        <v>0</v>
      </c>
      <c r="I37" s="106">
        <f>E37*H37</f>
        <v/>
      </c>
      <c r="J37" s="108">
        <f>IF(AND(ISNUMBER(F37),F37&gt;0,ISNUMBER(H37),H37&gt;0),(H37-F37)/F37,"")</f>
        <v/>
      </c>
    </row>
    <row r="38" ht="15" customHeight="1" s="56">
      <c r="B38" s="95" t="inlineStr">
        <is>
          <t>C-30-007</t>
        </is>
      </c>
      <c r="C38" s="103" t="inlineStr">
        <is>
          <t>Equipment pad concrete 300mm slab on grade</t>
        </is>
      </c>
      <c r="D38" s="95" t="inlineStr">
        <is>
          <t>m2</t>
        </is>
      </c>
      <c r="E38" s="104" t="n">
        <v>0</v>
      </c>
      <c r="F38" s="105">
        <f>'01 Rate Schedule'!Y34</f>
        <v/>
      </c>
      <c r="G38" s="106">
        <f>IF(ISNUMBER(F38),E38*F38,0)</f>
        <v/>
      </c>
      <c r="H38" s="107" t="n">
        <v>0</v>
      </c>
      <c r="I38" s="106">
        <f>E38*H38</f>
        <v/>
      </c>
      <c r="J38" s="108">
        <f>IF(AND(ISNUMBER(F38),F38&gt;0,ISNUMBER(H38),H38&gt;0),(H38-F38)/F38,"")</f>
        <v/>
      </c>
    </row>
    <row r="39" ht="15" customHeight="1" s="56">
      <c r="B39" s="95" t="inlineStr">
        <is>
          <t>C-30-006</t>
        </is>
      </c>
      <c r="C39" s="103" t="inlineStr">
        <is>
          <t>Equipment pad granular 600mm - heavy duty</t>
        </is>
      </c>
      <c r="D39" s="95" t="inlineStr">
        <is>
          <t>m2</t>
        </is>
      </c>
      <c r="E39" s="104" t="n">
        <v>0</v>
      </c>
      <c r="F39" s="105">
        <f>'01 Rate Schedule'!Y35</f>
        <v/>
      </c>
      <c r="G39" s="106">
        <f>IF(ISNUMBER(F39),E39*F39,0)</f>
        <v/>
      </c>
      <c r="H39" s="107" t="n">
        <v>0</v>
      </c>
      <c r="I39" s="106">
        <f>E39*H39</f>
        <v/>
      </c>
      <c r="J39" s="108">
        <f>IF(AND(ISNUMBER(F39),F39&gt;0,ISNUMBER(H39),H39&gt;0),(H39-F39)/F39,"")</f>
        <v/>
      </c>
    </row>
    <row r="40" ht="15" customHeight="1" s="56">
      <c r="B40" s="95" t="inlineStr">
        <is>
          <t>C-30-008</t>
        </is>
      </c>
      <c r="C40" s="103" t="inlineStr">
        <is>
          <t>Geotextile separation under road base - S+I</t>
        </is>
      </c>
      <c r="D40" s="95" t="inlineStr">
        <is>
          <t>m2</t>
        </is>
      </c>
      <c r="E40" s="104" t="n">
        <v>0</v>
      </c>
      <c r="F40" s="105">
        <f>'01 Rate Schedule'!Y36</f>
        <v/>
      </c>
      <c r="G40" s="106">
        <f>IF(ISNUMBER(F40),E40*F40,0)</f>
        <v/>
      </c>
      <c r="H40" s="107" t="n">
        <v>0</v>
      </c>
      <c r="I40" s="106">
        <f>E40*H40</f>
        <v/>
      </c>
      <c r="J40" s="108">
        <f>IF(AND(ISNUMBER(F40),F40&gt;0,ISNUMBER(H40),H40&gt;0),(H40-F40)/F40,"")</f>
        <v/>
      </c>
    </row>
    <row r="41" ht="15" customHeight="1" s="56">
      <c r="B41" s="95" t="inlineStr">
        <is>
          <t>C-30-003</t>
        </is>
      </c>
      <c r="C41" s="103" t="inlineStr">
        <is>
          <t>Granular sub-base 300mm - supply+place+compact</t>
        </is>
      </c>
      <c r="D41" s="95" t="inlineStr">
        <is>
          <t>m2</t>
        </is>
      </c>
      <c r="E41" s="104" t="n">
        <v>0</v>
      </c>
      <c r="F41" s="105">
        <f>'01 Rate Schedule'!Y37</f>
        <v/>
      </c>
      <c r="G41" s="106">
        <f>IF(ISNUMBER(F41),E41*F41,0)</f>
        <v/>
      </c>
      <c r="H41" s="107" t="n">
        <v>0</v>
      </c>
      <c r="I41" s="106">
        <f>E41*H41</f>
        <v/>
      </c>
      <c r="J41" s="108">
        <f>IF(AND(ISNUMBER(F41),F41&gt;0,ISNUMBER(H41),H41&gt;0),(H41-F41)/F41,"")</f>
        <v/>
      </c>
    </row>
    <row r="42" ht="15" customHeight="1" s="56">
      <c r="B42" s="95" t="inlineStr">
        <is>
          <t>C-30-004</t>
        </is>
      </c>
      <c r="C42" s="103" t="inlineStr">
        <is>
          <t>Granular surface course 150mm - supply+place</t>
        </is>
      </c>
      <c r="D42" s="95" t="inlineStr">
        <is>
          <t>m2</t>
        </is>
      </c>
      <c r="E42" s="104" t="n">
        <v>0</v>
      </c>
      <c r="F42" s="105">
        <f>'01 Rate Schedule'!Y38</f>
        <v/>
      </c>
      <c r="G42" s="106">
        <f>IF(ISNUMBER(F42),E42*F42,0)</f>
        <v/>
      </c>
      <c r="H42" s="107" t="n">
        <v>0</v>
      </c>
      <c r="I42" s="106">
        <f>E42*H42</f>
        <v/>
      </c>
      <c r="J42" s="108">
        <f>IF(AND(ISNUMBER(F42),F42&gt;0,ISNUMBER(H42),H42&gt;0),(H42-F42)/F42,"")</f>
        <v/>
      </c>
    </row>
    <row r="43" ht="15" customHeight="1" s="56">
      <c r="B43" s="95" t="inlineStr">
        <is>
          <t>C-30-002</t>
        </is>
      </c>
      <c r="C43" s="103" t="inlineStr">
        <is>
          <t>Haul road - sub-grade preparation only</t>
        </is>
      </c>
      <c r="D43" s="95" t="inlineStr">
        <is>
          <t>m2</t>
        </is>
      </c>
      <c r="E43" s="104" t="n">
        <v>0</v>
      </c>
      <c r="F43" s="105">
        <f>'01 Rate Schedule'!Y39</f>
        <v/>
      </c>
      <c r="G43" s="106">
        <f>IF(ISNUMBER(F43),E43*F43,0)</f>
        <v/>
      </c>
      <c r="H43" s="107" t="n">
        <v>0</v>
      </c>
      <c r="I43" s="106">
        <f>E43*H43</f>
        <v/>
      </c>
      <c r="J43" s="108">
        <f>IF(AND(ISNUMBER(F43),F43&gt;0,ISNUMBER(H43),H43&gt;0),(H43-F43)/F43,"")</f>
        <v/>
      </c>
    </row>
    <row r="44" ht="15" customHeight="1" s="56">
      <c r="B44" s="95" t="inlineStr">
        <is>
          <t>C-30-009</t>
        </is>
      </c>
      <c r="C44" s="103" t="inlineStr">
        <is>
          <t>Road crown and ditching - motor grader finish</t>
        </is>
      </c>
      <c r="D44" s="95" t="inlineStr">
        <is>
          <t>m</t>
        </is>
      </c>
      <c r="E44" s="104" t="n">
        <v>0</v>
      </c>
      <c r="F44" s="105">
        <f>'01 Rate Schedule'!Y40</f>
        <v/>
      </c>
      <c r="G44" s="106">
        <f>IF(ISNUMBER(F44),E44*F44,0)</f>
        <v/>
      </c>
      <c r="H44" s="107" t="n">
        <v>0</v>
      </c>
      <c r="I44" s="106">
        <f>E44*H44</f>
        <v/>
      </c>
      <c r="J44" s="108">
        <f>IF(AND(ISNUMBER(F44),F44&gt;0,ISNUMBER(H44),H44&gt;0),(H44-F44)/F44,"")</f>
        <v/>
      </c>
    </row>
    <row r="45" ht="18" customHeight="1" s="56">
      <c r="B45" s="102" t="inlineStr">
        <is>
          <t xml:space="preserve">  D. WRSA/TMF</t>
        </is>
      </c>
    </row>
    <row r="46" ht="15" customHeight="1" s="56">
      <c r="B46" s="95" t="inlineStr">
        <is>
          <t>C-40-006</t>
        </is>
      </c>
      <c r="C46" s="103" t="inlineStr">
        <is>
          <t>Filter zone drainage blanket 19mm - supply+place</t>
        </is>
      </c>
      <c r="D46" s="95" t="inlineStr">
        <is>
          <t>m3</t>
        </is>
      </c>
      <c r="E46" s="104" t="n">
        <v>0</v>
      </c>
      <c r="F46" s="105">
        <f>'01 Rate Schedule'!Y42</f>
        <v/>
      </c>
      <c r="G46" s="106">
        <f>IF(ISNUMBER(F46),E46*F46,0)</f>
        <v/>
      </c>
      <c r="H46" s="107" t="n">
        <v>0</v>
      </c>
      <c r="I46" s="106">
        <f>E46*H46</f>
        <v/>
      </c>
      <c r="J46" s="108">
        <f>IF(AND(ISNUMBER(F46),F46&gt;0,ISNUMBER(H46),H46&gt;0),(H46-F46)/F46,"")</f>
        <v/>
      </c>
    </row>
    <row r="47" ht="15" customHeight="1" s="56">
      <c r="B47" s="95" t="inlineStr">
        <is>
          <t>C-40-007</t>
        </is>
      </c>
      <c r="C47" s="103" t="inlineStr">
        <is>
          <t>Geonet/geocomposite drainage layer - S+I</t>
        </is>
      </c>
      <c r="D47" s="95" t="inlineStr">
        <is>
          <t>m2</t>
        </is>
      </c>
      <c r="E47" s="104" t="n">
        <v>0</v>
      </c>
      <c r="F47" s="105">
        <f>'01 Rate Schedule'!Y43</f>
        <v/>
      </c>
      <c r="G47" s="106">
        <f>IF(ISNUMBER(F47),E47*F47,0)</f>
        <v/>
      </c>
      <c r="H47" s="107" t="n">
        <v>0</v>
      </c>
      <c r="I47" s="106">
        <f>E47*H47</f>
        <v/>
      </c>
      <c r="J47" s="108">
        <f>IF(AND(ISNUMBER(F47),F47&gt;0,ISNUMBER(H47),H47&gt;0),(H47-F47)/F47,"")</f>
        <v/>
      </c>
    </row>
    <row r="48" ht="15" customHeight="1" s="56">
      <c r="B48" s="95" t="inlineStr">
        <is>
          <t>C-40-005</t>
        </is>
      </c>
      <c r="C48" s="103" t="inlineStr">
        <is>
          <t>HDPE 1.5mm liner - full S+I+CQA</t>
        </is>
      </c>
      <c r="D48" s="95" t="inlineStr">
        <is>
          <t>m2</t>
        </is>
      </c>
      <c r="E48" s="104" t="n">
        <v>0</v>
      </c>
      <c r="F48" s="105">
        <f>'01 Rate Schedule'!Y44</f>
        <v/>
      </c>
      <c r="G48" s="106">
        <f>IF(ISNUMBER(F48),E48*F48,0)</f>
        <v/>
      </c>
      <c r="H48" s="107" t="n">
        <v>0</v>
      </c>
      <c r="I48" s="106">
        <f>E48*H48</f>
        <v/>
      </c>
      <c r="J48" s="108">
        <f>IF(AND(ISNUMBER(F48),F48&gt;0,ISNUMBER(H48),H48&gt;0),(H48-F48)/F48,"")</f>
        <v/>
      </c>
    </row>
    <row r="49" ht="15" customHeight="1" s="56">
      <c r="B49" s="95" t="inlineStr">
        <is>
          <t>C-40-004</t>
        </is>
      </c>
      <c r="C49" s="103" t="inlineStr">
        <is>
          <t>HDPE 2mm (80mil) liner - full S+I+CQA</t>
        </is>
      </c>
      <c r="D49" s="95" t="inlineStr">
        <is>
          <t>m2</t>
        </is>
      </c>
      <c r="E49" s="104" t="n">
        <v>0</v>
      </c>
      <c r="F49" s="105">
        <f>'01 Rate Schedule'!Y45</f>
        <v/>
      </c>
      <c r="G49" s="106">
        <f>IF(ISNUMBER(F49),E49*F49,0)</f>
        <v/>
      </c>
      <c r="H49" s="107" t="n">
        <v>0</v>
      </c>
      <c r="I49" s="106">
        <f>E49*H49</f>
        <v/>
      </c>
      <c r="J49" s="108">
        <f>IF(AND(ISNUMBER(F49),F49&gt;0,ISNUMBER(H49),H49&gt;0),(H49-F49)/F49,"")</f>
        <v/>
      </c>
    </row>
    <row r="50" ht="15" customHeight="1" s="56">
      <c r="B50" s="95" t="inlineStr">
        <is>
          <t>C-40-008</t>
        </is>
      </c>
      <c r="C50" s="103" t="inlineStr">
        <is>
          <t>Protective cover soil over liner - place+compact</t>
        </is>
      </c>
      <c r="D50" s="95" t="inlineStr">
        <is>
          <t>m3</t>
        </is>
      </c>
      <c r="E50" s="104" t="n">
        <v>0</v>
      </c>
      <c r="F50" s="105">
        <f>'01 Rate Schedule'!Y46</f>
        <v/>
      </c>
      <c r="G50" s="106">
        <f>IF(ISNUMBER(F50),E50*F50,0)</f>
        <v/>
      </c>
      <c r="H50" s="107" t="n">
        <v>0</v>
      </c>
      <c r="I50" s="106">
        <f>E50*H50</f>
        <v/>
      </c>
      <c r="J50" s="108">
        <f>IF(AND(ISNUMBER(F50),F50&gt;0,ISNUMBER(H50),H50&gt;0),(H50-F50)/F50,"")</f>
        <v/>
      </c>
    </row>
    <row r="51" ht="15" customHeight="1" s="56">
      <c r="B51" s="95" t="inlineStr">
        <is>
          <t>C-40-002</t>
        </is>
      </c>
      <c r="C51" s="103" t="inlineStr">
        <is>
          <t>TMF embankment common fill Zone A/B</t>
        </is>
      </c>
      <c r="D51" s="95" t="inlineStr">
        <is>
          <t>m3</t>
        </is>
      </c>
      <c r="E51" s="104" t="n">
        <v>0</v>
      </c>
      <c r="F51" s="105">
        <f>'01 Rate Schedule'!Y47</f>
        <v/>
      </c>
      <c r="G51" s="106">
        <f>IF(ISNUMBER(F51),E51*F51,0)</f>
        <v/>
      </c>
      <c r="H51" s="107" t="n">
        <v>0</v>
      </c>
      <c r="I51" s="106">
        <f>E51*H51</f>
        <v/>
      </c>
      <c r="J51" s="108">
        <f>IF(AND(ISNUMBER(F51),F51&gt;0,ISNUMBER(H51),H51&gt;0),(H51-F51)/F51,"")</f>
        <v/>
      </c>
    </row>
    <row r="52" ht="15" customHeight="1" s="56">
      <c r="B52" s="95" t="inlineStr">
        <is>
          <t>C-40-003</t>
        </is>
      </c>
      <c r="C52" s="103" t="inlineStr">
        <is>
          <t>TMF embankment random rockfill Zone C</t>
        </is>
      </c>
      <c r="D52" s="95" t="inlineStr">
        <is>
          <t>m3</t>
        </is>
      </c>
      <c r="E52" s="104" t="n">
        <v>0</v>
      </c>
      <c r="F52" s="105">
        <f>'01 Rate Schedule'!Y48</f>
        <v/>
      </c>
      <c r="G52" s="106">
        <f>IF(ISNUMBER(F52),E52*F52,0)</f>
        <v/>
      </c>
      <c r="H52" s="107" t="n">
        <v>0</v>
      </c>
      <c r="I52" s="106">
        <f>E52*H52</f>
        <v/>
      </c>
      <c r="J52" s="108">
        <f>IF(AND(ISNUMBER(F52),F52&gt;0,ISNUMBER(H52),H52&gt;0),(H52-F52)/F52,"")</f>
        <v/>
      </c>
    </row>
    <row r="53" ht="15" customHeight="1" s="56">
      <c r="B53" s="95" t="inlineStr">
        <is>
          <t>C-40-009</t>
        </is>
      </c>
      <c r="C53" s="103" t="inlineStr">
        <is>
          <t>TMF perimeter ditch - cut+shape+riprap lined</t>
        </is>
      </c>
      <c r="D53" s="95" t="inlineStr">
        <is>
          <t>m</t>
        </is>
      </c>
      <c r="E53" s="104" t="n">
        <v>0</v>
      </c>
      <c r="F53" s="105">
        <f>'01 Rate Schedule'!Y49</f>
        <v/>
      </c>
      <c r="G53" s="106">
        <f>IF(ISNUMBER(F53),E53*F53,0)</f>
        <v/>
      </c>
      <c r="H53" s="107" t="n">
        <v>0</v>
      </c>
      <c r="I53" s="106">
        <f>E53*H53</f>
        <v/>
      </c>
      <c r="J53" s="108">
        <f>IF(AND(ISNUMBER(F53),F53&gt;0,ISNUMBER(H53),H53&gt;0),(H53-F53)/F53,"")</f>
        <v/>
      </c>
    </row>
    <row r="54" ht="18" customHeight="1" s="56">
      <c r="B54" s="102" t="inlineStr">
        <is>
          <t xml:space="preserve">  E. Drainage/Culverts</t>
        </is>
      </c>
    </row>
    <row r="55" ht="15" customHeight="1" s="56">
      <c r="B55" s="95" t="inlineStr">
        <is>
          <t>C-50-004</t>
        </is>
      </c>
      <c r="C55" s="103" t="inlineStr">
        <is>
          <t>CSP culvert 1050mm - S+I+bedding</t>
        </is>
      </c>
      <c r="D55" s="95" t="inlineStr">
        <is>
          <t>m</t>
        </is>
      </c>
      <c r="E55" s="104" t="n">
        <v>0</v>
      </c>
      <c r="F55" s="105">
        <f>'01 Rate Schedule'!Y51</f>
        <v/>
      </c>
      <c r="G55" s="106">
        <f>IF(ISNUMBER(F55),E55*F55,0)</f>
        <v/>
      </c>
      <c r="H55" s="107" t="n">
        <v>0</v>
      </c>
      <c r="I55" s="106">
        <f>E55*H55</f>
        <v/>
      </c>
      <c r="J55" s="108">
        <f>IF(AND(ISNUMBER(F55),F55&gt;0,ISNUMBER(H55),H55&gt;0),(H55-F55)/F55,"")</f>
        <v/>
      </c>
    </row>
    <row r="56" ht="15" customHeight="1" s="56">
      <c r="B56" s="95" t="inlineStr">
        <is>
          <t>C-50-005</t>
        </is>
      </c>
      <c r="C56" s="103" t="inlineStr">
        <is>
          <t>CSP culvert 1200mm - S+I+bedding</t>
        </is>
      </c>
      <c r="D56" s="95" t="inlineStr">
        <is>
          <t>m</t>
        </is>
      </c>
      <c r="E56" s="104" t="n">
        <v>0</v>
      </c>
      <c r="F56" s="105">
        <f>'01 Rate Schedule'!Y52</f>
        <v/>
      </c>
      <c r="G56" s="106">
        <f>IF(ISNUMBER(F56),E56*F56,0)</f>
        <v/>
      </c>
      <c r="H56" s="107" t="n">
        <v>0</v>
      </c>
      <c r="I56" s="106">
        <f>E56*H56</f>
        <v/>
      </c>
      <c r="J56" s="108">
        <f>IF(AND(ISNUMBER(F56),F56&gt;0,ISNUMBER(H56),H56&gt;0),(H56-F56)/F56,"")</f>
        <v/>
      </c>
    </row>
    <row r="57" ht="15" customHeight="1" s="56">
      <c r="B57" s="95" t="inlineStr">
        <is>
          <t>C-50-002</t>
        </is>
      </c>
      <c r="C57" s="103" t="inlineStr">
        <is>
          <t>CSP culvert 750mm - S+I+bedding</t>
        </is>
      </c>
      <c r="D57" s="95" t="inlineStr">
        <is>
          <t>m</t>
        </is>
      </c>
      <c r="E57" s="104" t="n">
        <v>0</v>
      </c>
      <c r="F57" s="105">
        <f>'01 Rate Schedule'!Y53</f>
        <v/>
      </c>
      <c r="G57" s="106">
        <f>IF(ISNUMBER(F57),E57*F57,0)</f>
        <v/>
      </c>
      <c r="H57" s="107" t="n">
        <v>0</v>
      </c>
      <c r="I57" s="106">
        <f>E57*H57</f>
        <v/>
      </c>
      <c r="J57" s="108">
        <f>IF(AND(ISNUMBER(F57),F57&gt;0,ISNUMBER(H57),H57&gt;0),(H57-F57)/F57,"")</f>
        <v/>
      </c>
    </row>
    <row r="58" ht="15" customHeight="1" s="56">
      <c r="B58" s="95" t="inlineStr">
        <is>
          <t>C-50-003</t>
        </is>
      </c>
      <c r="C58" s="103" t="inlineStr">
        <is>
          <t>CSP culvert 900mm - S+I+bedding</t>
        </is>
      </c>
      <c r="D58" s="95" t="inlineStr">
        <is>
          <t>m</t>
        </is>
      </c>
      <c r="E58" s="104" t="n">
        <v>0</v>
      </c>
      <c r="F58" s="105">
        <f>'01 Rate Schedule'!Y54</f>
        <v/>
      </c>
      <c r="G58" s="106">
        <f>IF(ISNUMBER(F58),E58*F58,0)</f>
        <v/>
      </c>
      <c r="H58" s="107" t="n">
        <v>0</v>
      </c>
      <c r="I58" s="106">
        <f>E58*H58</f>
        <v/>
      </c>
      <c r="J58" s="108">
        <f>IF(AND(ISNUMBER(F58),F58&gt;0,ISNUMBER(H58),H58&gt;0),(H58-F58)/F58,"")</f>
        <v/>
      </c>
    </row>
    <row r="59" ht="15" customHeight="1" s="56">
      <c r="B59" s="95" t="inlineStr">
        <is>
          <t>C-50-009</t>
        </is>
      </c>
      <c r="C59" s="103" t="inlineStr">
        <is>
          <t>CSP flow guard 1200mm - S+I</t>
        </is>
      </c>
      <c r="D59" s="95" t="inlineStr">
        <is>
          <t>ea</t>
        </is>
      </c>
      <c r="E59" s="104" t="n">
        <v>0</v>
      </c>
      <c r="F59" s="105">
        <f>'01 Rate Schedule'!Y55</f>
        <v/>
      </c>
      <c r="G59" s="106">
        <f>IF(ISNUMBER(F59),E59*F59,0)</f>
        <v/>
      </c>
      <c r="H59" s="107" t="n">
        <v>0</v>
      </c>
      <c r="I59" s="106">
        <f>E59*H59</f>
        <v/>
      </c>
      <c r="J59" s="108">
        <f>IF(AND(ISNUMBER(F59),F59&gt;0,ISNUMBER(H59),H59&gt;0),(H59-F59)/F59,"")</f>
        <v/>
      </c>
    </row>
    <row r="60" ht="15" customHeight="1" s="56">
      <c r="B60" s="95" t="inlineStr">
        <is>
          <t>C-50-006</t>
        </is>
      </c>
      <c r="C60" s="103" t="inlineStr">
        <is>
          <t>CSP flow guard 600mm - S+I</t>
        </is>
      </c>
      <c r="D60" s="95" t="inlineStr">
        <is>
          <t>ea</t>
        </is>
      </c>
      <c r="E60" s="104" t="n">
        <v>0</v>
      </c>
      <c r="F60" s="105">
        <f>'01 Rate Schedule'!Y56</f>
        <v/>
      </c>
      <c r="G60" s="106">
        <f>IF(ISNUMBER(F60),E60*F60,0)</f>
        <v/>
      </c>
      <c r="H60" s="107" t="n">
        <v>0</v>
      </c>
      <c r="I60" s="106">
        <f>E60*H60</f>
        <v/>
      </c>
      <c r="J60" s="108">
        <f>IF(AND(ISNUMBER(F60),F60&gt;0,ISNUMBER(H60),H60&gt;0),(H60-F60)/F60,"")</f>
        <v/>
      </c>
    </row>
    <row r="61" ht="15" customHeight="1" s="56">
      <c r="B61" s="95" t="inlineStr">
        <is>
          <t>C-50-007</t>
        </is>
      </c>
      <c r="C61" s="103" t="inlineStr">
        <is>
          <t>CSP flow guard 750mm - S+I</t>
        </is>
      </c>
      <c r="D61" s="95" t="inlineStr">
        <is>
          <t>ea</t>
        </is>
      </c>
      <c r="E61" s="104" t="n">
        <v>0</v>
      </c>
      <c r="F61" s="105">
        <f>'01 Rate Schedule'!Y57</f>
        <v/>
      </c>
      <c r="G61" s="106">
        <f>IF(ISNUMBER(F61),E61*F61,0)</f>
        <v/>
      </c>
      <c r="H61" s="107" t="n">
        <v>0</v>
      </c>
      <c r="I61" s="106">
        <f>E61*H61</f>
        <v/>
      </c>
      <c r="J61" s="108">
        <f>IF(AND(ISNUMBER(F61),F61&gt;0,ISNUMBER(H61),H61&gt;0),(H61-F61)/F61,"")</f>
        <v/>
      </c>
    </row>
    <row r="62" ht="15" customHeight="1" s="56">
      <c r="B62" s="95" t="inlineStr">
        <is>
          <t>C-50-008</t>
        </is>
      </c>
      <c r="C62" s="103" t="inlineStr">
        <is>
          <t>CSP flow guard 900mm - S+I</t>
        </is>
      </c>
      <c r="D62" s="95" t="inlineStr">
        <is>
          <t>ea</t>
        </is>
      </c>
      <c r="E62" s="104" t="n">
        <v>0</v>
      </c>
      <c r="F62" s="105">
        <f>'01 Rate Schedule'!Y58</f>
        <v/>
      </c>
      <c r="G62" s="106">
        <f>IF(ISNUMBER(F62),E62*F62,0)</f>
        <v/>
      </c>
      <c r="H62" s="107" t="n">
        <v>0</v>
      </c>
      <c r="I62" s="106">
        <f>E62*H62</f>
        <v/>
      </c>
      <c r="J62" s="108">
        <f>IF(AND(ISNUMBER(F62),F62&gt;0,ISNUMBER(H62),H62&gt;0),(H62-F62)/F62,"")</f>
        <v/>
      </c>
    </row>
    <row r="63" ht="15" customHeight="1" s="56">
      <c r="B63" s="95" t="inlineStr">
        <is>
          <t>C-50-015</t>
        </is>
      </c>
      <c r="C63" s="103" t="inlineStr">
        <is>
          <t>Clear stone discharge pipe 450mm - S+I</t>
        </is>
      </c>
      <c r="D63" s="95" t="inlineStr">
        <is>
          <t>m</t>
        </is>
      </c>
      <c r="E63" s="104" t="n">
        <v>0</v>
      </c>
      <c r="F63" s="105">
        <f>'01 Rate Schedule'!Y59</f>
        <v/>
      </c>
      <c r="G63" s="106">
        <f>IF(ISNUMBER(F63),E63*F63,0)</f>
        <v/>
      </c>
      <c r="H63" s="107" t="n">
        <v>0</v>
      </c>
      <c r="I63" s="106">
        <f>E63*H63</f>
        <v/>
      </c>
      <c r="J63" s="108">
        <f>IF(AND(ISNUMBER(F63),F63&gt;0,ISNUMBER(H63),H63&gt;0),(H63-F63)/F63,"")</f>
        <v/>
      </c>
    </row>
    <row r="64" ht="15" customHeight="1" s="56">
      <c r="B64" s="95" t="inlineStr">
        <is>
          <t>C-50-016</t>
        </is>
      </c>
      <c r="C64" s="103" t="inlineStr">
        <is>
          <t>Discharge trench clear stone - supply+place</t>
        </is>
      </c>
      <c r="D64" s="95" t="inlineStr">
        <is>
          <t>m3</t>
        </is>
      </c>
      <c r="E64" s="104" t="n">
        <v>0</v>
      </c>
      <c r="F64" s="105">
        <f>'01 Rate Schedule'!Y60</f>
        <v/>
      </c>
      <c r="G64" s="106">
        <f>IF(ISNUMBER(F64),E64*F64,0)</f>
        <v/>
      </c>
      <c r="H64" s="107" t="n">
        <v>0</v>
      </c>
      <c r="I64" s="106">
        <f>E64*H64</f>
        <v/>
      </c>
      <c r="J64" s="108">
        <f>IF(AND(ISNUMBER(F64),F64&gt;0,ISNUMBER(H64),H64&gt;0),(H64-F64)/F64,"")</f>
        <v/>
      </c>
    </row>
    <row r="65" ht="15" customHeight="1" s="56">
      <c r="B65" s="95" t="inlineStr">
        <is>
          <t>C-50-010</t>
        </is>
      </c>
      <c r="C65" s="103" t="inlineStr">
        <is>
          <t>HDPE 100mm DR11 buried - excav+install+BF</t>
        </is>
      </c>
      <c r="D65" s="95" t="inlineStr">
        <is>
          <t>m</t>
        </is>
      </c>
      <c r="E65" s="104" t="n">
        <v>0</v>
      </c>
      <c r="F65" s="105">
        <f>'01 Rate Schedule'!Y61</f>
        <v/>
      </c>
      <c r="G65" s="106">
        <f>IF(ISNUMBER(F65),E65*F65,0)</f>
        <v/>
      </c>
      <c r="H65" s="107" t="n">
        <v>0</v>
      </c>
      <c r="I65" s="106">
        <f>E65*H65</f>
        <v/>
      </c>
      <c r="J65" s="108">
        <f>IF(AND(ISNUMBER(F65),F65&gt;0,ISNUMBER(H65),H65&gt;0),(H65-F65)/F65,"")</f>
        <v/>
      </c>
    </row>
    <row r="66" ht="15" customHeight="1" s="56">
      <c r="B66" s="95" t="inlineStr">
        <is>
          <t>C-50-014</t>
        </is>
      </c>
      <c r="C66" s="103" t="inlineStr">
        <is>
          <t>HDPE 1200mm inlet piping - S+I</t>
        </is>
      </c>
      <c r="D66" s="95" t="inlineStr">
        <is>
          <t>m</t>
        </is>
      </c>
      <c r="E66" s="104" t="n">
        <v>0</v>
      </c>
      <c r="F66" s="105">
        <f>'01 Rate Schedule'!Y62</f>
        <v/>
      </c>
      <c r="G66" s="106">
        <f>IF(ISNUMBER(F66),E66*F66,0)</f>
        <v/>
      </c>
      <c r="H66" s="107" t="n">
        <v>0</v>
      </c>
      <c r="I66" s="106">
        <f>E66*H66</f>
        <v/>
      </c>
      <c r="J66" s="108">
        <f>IF(AND(ISNUMBER(F66),F66&gt;0,ISNUMBER(H66),H66&gt;0),(H66-F66)/F66,"")</f>
        <v/>
      </c>
    </row>
    <row r="67" ht="15" customHeight="1" s="56">
      <c r="B67" s="95" t="inlineStr">
        <is>
          <t>C-50-011</t>
        </is>
      </c>
      <c r="C67" s="103" t="inlineStr">
        <is>
          <t>HDPE 150mm DR11 above grade + insulation</t>
        </is>
      </c>
      <c r="D67" s="95" t="inlineStr">
        <is>
          <t>m</t>
        </is>
      </c>
      <c r="E67" s="104" t="n">
        <v>0</v>
      </c>
      <c r="F67" s="105">
        <f>'01 Rate Schedule'!Y63</f>
        <v/>
      </c>
      <c r="G67" s="106">
        <f>IF(ISNUMBER(F67),E67*F67,0)</f>
        <v/>
      </c>
      <c r="H67" s="107" t="n">
        <v>0</v>
      </c>
      <c r="I67" s="106">
        <f>E67*H67</f>
        <v/>
      </c>
      <c r="J67" s="108">
        <f>IF(AND(ISNUMBER(F67),F67&gt;0,ISNUMBER(H67),H67&gt;0),(H67-F67)/F67,"")</f>
        <v/>
      </c>
    </row>
    <row r="68" ht="15" customHeight="1" s="56">
      <c r="B68" s="95" t="inlineStr">
        <is>
          <t>C-50-012</t>
        </is>
      </c>
      <c r="C68" s="103" t="inlineStr">
        <is>
          <t>HDPE 200mm DR11 above grade + insulation</t>
        </is>
      </c>
      <c r="D68" s="95" t="inlineStr">
        <is>
          <t>m</t>
        </is>
      </c>
      <c r="E68" s="104" t="n">
        <v>0</v>
      </c>
      <c r="F68" s="105">
        <f>'01 Rate Schedule'!Y64</f>
        <v/>
      </c>
      <c r="G68" s="106">
        <f>IF(ISNUMBER(F68),E68*F68,0)</f>
        <v/>
      </c>
      <c r="H68" s="107" t="n">
        <v>0</v>
      </c>
      <c r="I68" s="106">
        <f>E68*H68</f>
        <v/>
      </c>
      <c r="J68" s="108">
        <f>IF(AND(ISNUMBER(F68),F68&gt;0,ISNUMBER(H68),H68&gt;0),(H68-F68)/F68,"")</f>
        <v/>
      </c>
    </row>
    <row r="69" ht="15" customHeight="1" s="56">
      <c r="B69" s="95" t="inlineStr">
        <is>
          <t>C-50-013</t>
        </is>
      </c>
      <c r="C69" s="103" t="inlineStr">
        <is>
          <t>HDPE 600mm DR17 above grade + insulation</t>
        </is>
      </c>
      <c r="D69" s="95" t="inlineStr">
        <is>
          <t>m</t>
        </is>
      </c>
      <c r="E69" s="104" t="n">
        <v>0</v>
      </c>
      <c r="F69" s="105">
        <f>'01 Rate Schedule'!Y65</f>
        <v/>
      </c>
      <c r="G69" s="106">
        <f>IF(ISNUMBER(F69),E69*F69,0)</f>
        <v/>
      </c>
      <c r="H69" s="107" t="n">
        <v>0</v>
      </c>
      <c r="I69" s="106">
        <f>E69*H69</f>
        <v/>
      </c>
      <c r="J69" s="108">
        <f>IF(AND(ISNUMBER(F69),F69&gt;0,ISNUMBER(H69),H69&gt;0),(H69-F69)/F69,"")</f>
        <v/>
      </c>
    </row>
    <row r="70" ht="18" customHeight="1" s="56">
      <c r="B70" s="102" t="inlineStr">
        <is>
          <t xml:space="preserve">  F. Concrete</t>
        </is>
      </c>
    </row>
    <row r="71" ht="15" customHeight="1" s="56">
      <c r="B71" s="95" t="inlineStr">
        <is>
          <t>C-60-004</t>
        </is>
      </c>
      <c r="C71" s="103" t="inlineStr">
        <is>
          <t>Concrete footing - continuous/isolated</t>
        </is>
      </c>
      <c r="D71" s="95" t="inlineStr">
        <is>
          <t>m3</t>
        </is>
      </c>
      <c r="E71" s="104" t="n">
        <v>0</v>
      </c>
      <c r="F71" s="105">
        <f>'01 Rate Schedule'!Y67</f>
        <v/>
      </c>
      <c r="G71" s="106">
        <f>IF(ISNUMBER(F71),E71*F71,0)</f>
        <v/>
      </c>
      <c r="H71" s="107" t="n">
        <v>0</v>
      </c>
      <c r="I71" s="106">
        <f>E71*H71</f>
        <v/>
      </c>
      <c r="J71" s="108">
        <f>IF(AND(ISNUMBER(F71),F71&gt;0,ISNUMBER(H71),H71&gt;0),(H71-F71)/F71,"")</f>
        <v/>
      </c>
    </row>
    <row r="72" ht="15" customHeight="1" s="56">
      <c r="B72" s="95" t="inlineStr">
        <is>
          <t>C-60-003</t>
        </is>
      </c>
      <c r="C72" s="103" t="inlineStr">
        <is>
          <t>Concrete pier - drill+form+pour</t>
        </is>
      </c>
      <c r="D72" s="95" t="inlineStr">
        <is>
          <t>m3</t>
        </is>
      </c>
      <c r="E72" s="104" t="n">
        <v>0</v>
      </c>
      <c r="F72" s="105">
        <f>'01 Rate Schedule'!Y68</f>
        <v/>
      </c>
      <c r="G72" s="106">
        <f>IF(ISNUMBER(F72),E72*F72,0)</f>
        <v/>
      </c>
      <c r="H72" s="107" t="n">
        <v>0</v>
      </c>
      <c r="I72" s="106">
        <f>E72*H72</f>
        <v/>
      </c>
      <c r="J72" s="108">
        <f>IF(AND(ISNUMBER(F72),F72&gt;0,ISNUMBER(H72),H72&gt;0),(H72-F72)/F72,"")</f>
        <v/>
      </c>
    </row>
    <row r="73" ht="15" customHeight="1" s="56">
      <c r="B73" s="95" t="inlineStr">
        <is>
          <t>C-60-002</t>
        </is>
      </c>
      <c r="C73" s="103" t="inlineStr">
        <is>
          <t>Concrete wall and grade beam - S+pour+cure</t>
        </is>
      </c>
      <c r="D73" s="95" t="inlineStr">
        <is>
          <t>m3</t>
        </is>
      </c>
      <c r="E73" s="104" t="n">
        <v>0</v>
      </c>
      <c r="F73" s="105">
        <f>'01 Rate Schedule'!Y69</f>
        <v/>
      </c>
      <c r="G73" s="106">
        <f>IF(ISNUMBER(F73),E73*F73,0)</f>
        <v/>
      </c>
      <c r="H73" s="107" t="n">
        <v>0</v>
      </c>
      <c r="I73" s="106">
        <f>E73*H73</f>
        <v/>
      </c>
      <c r="J73" s="108">
        <f>IF(AND(ISNUMBER(F73),F73&gt;0,ISNUMBER(H73),H73&gt;0),(H73-F73)/F73,"")</f>
        <v/>
      </c>
    </row>
    <row r="74" ht="15" customHeight="1" s="56">
      <c r="B74" s="95" t="inlineStr">
        <is>
          <t>C-60-006</t>
        </is>
      </c>
      <c r="C74" s="103" t="inlineStr">
        <is>
          <t>Rebar Grade 400 - supply+install</t>
        </is>
      </c>
      <c r="D74" s="95" t="inlineStr">
        <is>
          <t>tonne</t>
        </is>
      </c>
      <c r="E74" s="104" t="n">
        <v>0</v>
      </c>
      <c r="F74" s="105">
        <f>'01 Rate Schedule'!Y70</f>
        <v/>
      </c>
      <c r="G74" s="106">
        <f>IF(ISNUMBER(F74),E74*F74,0)</f>
        <v/>
      </c>
      <c r="H74" s="107" t="n">
        <v>0</v>
      </c>
      <c r="I74" s="106">
        <f>E74*H74</f>
        <v/>
      </c>
      <c r="J74" s="108">
        <f>IF(AND(ISNUMBER(F74),F74&gt;0,ISNUMBER(H74),H74&gt;0),(H74-F74)/F74,"")</f>
        <v/>
      </c>
    </row>
    <row r="75" ht="15" customHeight="1" s="56">
      <c r="B75" s="95" t="inlineStr">
        <is>
          <t>C-60-005</t>
        </is>
      </c>
      <c r="C75" s="103" t="inlineStr">
        <is>
          <t>Shotcrete rock reinforcement 50mm</t>
        </is>
      </c>
      <c r="D75" s="95" t="inlineStr">
        <is>
          <t>m2</t>
        </is>
      </c>
      <c r="E75" s="104" t="n">
        <v>0</v>
      </c>
      <c r="F75" s="105">
        <f>'01 Rate Schedule'!Y71</f>
        <v/>
      </c>
      <c r="G75" s="106">
        <f>IF(ISNUMBER(F75),E75*F75,0)</f>
        <v/>
      </c>
      <c r="H75" s="107" t="n">
        <v>0</v>
      </c>
      <c r="I75" s="106">
        <f>E75*H75</f>
        <v/>
      </c>
      <c r="J75" s="108">
        <f>IF(AND(ISNUMBER(F75),F75&gt;0,ISNUMBER(H75),H75&gt;0),(H75-F75)/F75,"")</f>
        <v/>
      </c>
    </row>
    <row r="76" ht="18" customHeight="1" s="56">
      <c r="B76" s="102" t="inlineStr">
        <is>
          <t xml:space="preserve">  G. Steel</t>
        </is>
      </c>
    </row>
    <row r="77" ht="15" customHeight="1" s="56">
      <c r="B77" s="95" t="inlineStr">
        <is>
          <t>C-70-006</t>
        </is>
      </c>
      <c r="C77" s="103" t="inlineStr">
        <is>
          <t>Handrail incl. toe plate and fasteners</t>
        </is>
      </c>
      <c r="D77" s="95" t="inlineStr">
        <is>
          <t>m</t>
        </is>
      </c>
      <c r="E77" s="104" t="n">
        <v>0</v>
      </c>
      <c r="F77" s="105">
        <f>'01 Rate Schedule'!Y73</f>
        <v/>
      </c>
      <c r="G77" s="106">
        <f>IF(ISNUMBER(F77),E77*F77,0)</f>
        <v/>
      </c>
      <c r="H77" s="107" t="n">
        <v>0</v>
      </c>
      <c r="I77" s="106">
        <f>E77*H77</f>
        <v/>
      </c>
      <c r="J77" s="108">
        <f>IF(AND(ISNUMBER(F77),F77&gt;0,ISNUMBER(H77),H77&gt;0),(H77-F77)/F77,"")</f>
        <v/>
      </c>
    </row>
    <row r="78" ht="15" customHeight="1" s="56">
      <c r="B78" s="95" t="inlineStr">
        <is>
          <t>C-70-009</t>
        </is>
      </c>
      <c r="C78" s="103" t="inlineStr">
        <is>
          <t>Metal cladding 22ga prefinished - supply+erect</t>
        </is>
      </c>
      <c r="D78" s="95" t="inlineStr">
        <is>
          <t>m2</t>
        </is>
      </c>
      <c r="E78" s="104" t="n">
        <v>0</v>
      </c>
      <c r="F78" s="105">
        <f>'01 Rate Schedule'!Y74</f>
        <v/>
      </c>
      <c r="G78" s="106">
        <f>IF(ISNUMBER(F78),E78*F78,0)</f>
        <v/>
      </c>
      <c r="H78" s="107" t="n">
        <v>0</v>
      </c>
      <c r="I78" s="106">
        <f>E78*H78</f>
        <v/>
      </c>
      <c r="J78" s="108">
        <f>IF(AND(ISNUMBER(F78),F78&gt;0,ISNUMBER(H78),H78&gt;0),(H78-F78)/F78,"")</f>
        <v/>
      </c>
    </row>
    <row r="79" ht="15" customHeight="1" s="56">
      <c r="B79" s="95" t="inlineStr">
        <is>
          <t>C-70-008</t>
        </is>
      </c>
      <c r="C79" s="103" t="inlineStr">
        <is>
          <t>Metal roof deck 22ga 76mm - supply+erect</t>
        </is>
      </c>
      <c r="D79" s="95" t="inlineStr">
        <is>
          <t>m2</t>
        </is>
      </c>
      <c r="E79" s="104" t="n">
        <v>0</v>
      </c>
      <c r="F79" s="105">
        <f>'01 Rate Schedule'!Y75</f>
        <v/>
      </c>
      <c r="G79" s="106">
        <f>IF(ISNUMBER(F79),E79*F79,0)</f>
        <v/>
      </c>
      <c r="H79" s="107" t="n">
        <v>0</v>
      </c>
      <c r="I79" s="106">
        <f>E79*H79</f>
        <v/>
      </c>
      <c r="J79" s="108">
        <f>IF(AND(ISNUMBER(F79),F79&gt;0,ISNUMBER(H79),H79&gt;0),(H79-F79)/F79,"")</f>
        <v/>
      </c>
    </row>
    <row r="80" ht="15" customHeight="1" s="56">
      <c r="B80" s="95" t="inlineStr">
        <is>
          <t>C-70-007</t>
        </is>
      </c>
      <c r="C80" s="103" t="inlineStr">
        <is>
          <t>Stairs - stringers and treads</t>
        </is>
      </c>
      <c r="D80" s="95" t="inlineStr">
        <is>
          <t>m</t>
        </is>
      </c>
      <c r="E80" s="104" t="n">
        <v>0</v>
      </c>
      <c r="F80" s="105">
        <f>'01 Rate Schedule'!Y76</f>
        <v/>
      </c>
      <c r="G80" s="106">
        <f>IF(ISNUMBER(F80),E80*F80,0)</f>
        <v/>
      </c>
      <c r="H80" s="107" t="n">
        <v>0</v>
      </c>
      <c r="I80" s="106">
        <f>E80*H80</f>
        <v/>
      </c>
      <c r="J80" s="108">
        <f>IF(AND(ISNUMBER(F80),F80&gt;0,ISNUMBER(H80),H80&gt;0),(H80-F80)/F80,"")</f>
        <v/>
      </c>
    </row>
    <row r="81" ht="15" customHeight="1" s="56">
      <c r="B81" s="95" t="inlineStr">
        <is>
          <t>C-70-003</t>
        </is>
      </c>
      <c r="C81" s="103" t="inlineStr">
        <is>
          <t>Steel beams heavy 66-125 kg/m - supply+erect</t>
        </is>
      </c>
      <c r="D81" s="95" t="inlineStr">
        <is>
          <t>tonne</t>
        </is>
      </c>
      <c r="E81" s="104" t="n">
        <v>0</v>
      </c>
      <c r="F81" s="105">
        <f>'01 Rate Schedule'!Y77</f>
        <v/>
      </c>
      <c r="G81" s="106">
        <f>IF(ISNUMBER(F81),E81*F81,0)</f>
        <v/>
      </c>
      <c r="H81" s="107" t="n">
        <v>0</v>
      </c>
      <c r="I81" s="106">
        <f>E81*H81</f>
        <v/>
      </c>
      <c r="J81" s="108">
        <f>IF(AND(ISNUMBER(F81),F81&gt;0,ISNUMBER(H81),H81&gt;0),(H81-F81)/F81,"")</f>
        <v/>
      </c>
    </row>
    <row r="82" ht="15" customHeight="1" s="56">
      <c r="B82" s="95" t="inlineStr">
        <is>
          <t>C-70-002</t>
        </is>
      </c>
      <c r="C82" s="103" t="inlineStr">
        <is>
          <t>Steel beams medium 26-65 kg/m - supply+erect</t>
        </is>
      </c>
      <c r="D82" s="95" t="inlineStr">
        <is>
          <t>tonne</t>
        </is>
      </c>
      <c r="E82" s="104" t="n">
        <v>0</v>
      </c>
      <c r="F82" s="105">
        <f>'01 Rate Schedule'!Y78</f>
        <v/>
      </c>
      <c r="G82" s="106">
        <f>IF(ISNUMBER(F82),E82*F82,0)</f>
        <v/>
      </c>
      <c r="H82" s="107" t="n">
        <v>0</v>
      </c>
      <c r="I82" s="106">
        <f>E82*H82</f>
        <v/>
      </c>
      <c r="J82" s="108">
        <f>IF(AND(ISNUMBER(F82),F82&gt;0,ISNUMBER(H82),H82&gt;0),(H82-F82)/F82,"")</f>
        <v/>
      </c>
    </row>
    <row r="83" ht="15" customHeight="1" s="56">
      <c r="B83" s="95" t="inlineStr">
        <is>
          <t>C-70-004</t>
        </is>
      </c>
      <c r="C83" s="103" t="inlineStr">
        <is>
          <t>Steel columns extra-heavy - supply+erect</t>
        </is>
      </c>
      <c r="D83" s="95" t="inlineStr">
        <is>
          <t>tonne</t>
        </is>
      </c>
      <c r="E83" s="104" t="n">
        <v>0</v>
      </c>
      <c r="F83" s="105">
        <f>'01 Rate Schedule'!Y79</f>
        <v/>
      </c>
      <c r="G83" s="106">
        <f>IF(ISNUMBER(F83),E83*F83,0)</f>
        <v/>
      </c>
      <c r="H83" s="107" t="n">
        <v>0</v>
      </c>
      <c r="I83" s="106">
        <f>E83*H83</f>
        <v/>
      </c>
      <c r="J83" s="108">
        <f>IF(AND(ISNUMBER(F83),F83&gt;0,ISNUMBER(H83),H83&gt;0),(H83-F83)/F83,"")</f>
        <v/>
      </c>
    </row>
    <row r="84" ht="15" customHeight="1" s="56">
      <c r="B84" s="95" t="inlineStr">
        <is>
          <t>C-70-005</t>
        </is>
      </c>
      <c r="C84" s="103" t="inlineStr">
        <is>
          <t>Steel grating 32x4.8mm - supply+install</t>
        </is>
      </c>
      <c r="D84" s="95" t="inlineStr">
        <is>
          <t>m2</t>
        </is>
      </c>
      <c r="E84" s="104" t="n">
        <v>0</v>
      </c>
      <c r="F84" s="105">
        <f>'01 Rate Schedule'!Y80</f>
        <v/>
      </c>
      <c r="G84" s="106">
        <f>IF(ISNUMBER(F84),E84*F84,0)</f>
        <v/>
      </c>
      <c r="H84" s="107" t="n">
        <v>0</v>
      </c>
      <c r="I84" s="106">
        <f>E84*H84</f>
        <v/>
      </c>
      <c r="J84" s="108">
        <f>IF(AND(ISNUMBER(F84),F84&gt;0,ISNUMBER(H84),H84&gt;0),(H84-F84)/F84,"")</f>
        <v/>
      </c>
    </row>
    <row r="85" ht="18" customHeight="1" s="56">
      <c r="B85" s="102" t="inlineStr">
        <is>
          <t xml:space="preserve">  H. Closure</t>
        </is>
      </c>
    </row>
    <row r="86" ht="15" customHeight="1" s="56">
      <c r="B86" s="95" t="inlineStr">
        <is>
          <t>C-80-003</t>
        </is>
      </c>
      <c r="C86" s="103" t="inlineStr">
        <is>
          <t>Cover system compacted clay 600mm</t>
        </is>
      </c>
      <c r="D86" s="95" t="inlineStr">
        <is>
          <t>m3</t>
        </is>
      </c>
      <c r="E86" s="104" t="n">
        <v>0</v>
      </c>
      <c r="F86" s="105">
        <f>'01 Rate Schedule'!Y82</f>
        <v/>
      </c>
      <c r="G86" s="106">
        <f>IF(ISNUMBER(F86),E86*F86,0)</f>
        <v/>
      </c>
      <c r="H86" s="107" t="n">
        <v>0</v>
      </c>
      <c r="I86" s="106">
        <f>E86*H86</f>
        <v/>
      </c>
      <c r="J86" s="108">
        <f>IF(AND(ISNUMBER(F86),F86&gt;0,ISNUMBER(H86),H86&gt;0),(H86-F86)/F86,"")</f>
        <v/>
      </c>
    </row>
    <row r="87" ht="15" customHeight="1" s="56">
      <c r="B87" s="95" t="inlineStr">
        <is>
          <t>C-80-005</t>
        </is>
      </c>
      <c r="C87" s="103" t="inlineStr">
        <is>
          <t>HDPE cap liner 2mm - supply+install+CQA</t>
        </is>
      </c>
      <c r="D87" s="95" t="inlineStr">
        <is>
          <t>m2</t>
        </is>
      </c>
      <c r="E87" s="104" t="n">
        <v>0</v>
      </c>
      <c r="F87" s="105">
        <f>'01 Rate Schedule'!Y83</f>
        <v/>
      </c>
      <c r="G87" s="106">
        <f>IF(ISNUMBER(F87),E87*F87,0)</f>
        <v/>
      </c>
      <c r="H87" s="107" t="n">
        <v>0</v>
      </c>
      <c r="I87" s="106">
        <f>E87*H87</f>
        <v/>
      </c>
      <c r="J87" s="108">
        <f>IF(AND(ISNUMBER(F87),F87&gt;0,ISNUMBER(H87),H87&gt;0),(H87-F87)/F87,"")</f>
        <v/>
      </c>
    </row>
    <row r="88" ht="15" customHeight="1" s="56">
      <c r="B88" s="95" t="inlineStr">
        <is>
          <t>C-80-002</t>
        </is>
      </c>
      <c r="C88" s="103" t="inlineStr">
        <is>
          <t>Riprap closure cap D50 300mm - supply+place</t>
        </is>
      </c>
      <c r="D88" s="95" t="inlineStr">
        <is>
          <t>m3</t>
        </is>
      </c>
      <c r="E88" s="104" t="n">
        <v>0</v>
      </c>
      <c r="F88" s="105">
        <f>'01 Rate Schedule'!Y84</f>
        <v/>
      </c>
      <c r="G88" s="106">
        <f>IF(ISNUMBER(F88),E88*F88,0)</f>
        <v/>
      </c>
      <c r="H88" s="107" t="n">
        <v>0</v>
      </c>
      <c r="I88" s="106">
        <f>E88*H88</f>
        <v/>
      </c>
      <c r="J88" s="108">
        <f>IF(AND(ISNUMBER(F88),F88&gt;0,ISNUMBER(H88),H88&gt;0),(H88-F88)/F88,"")</f>
        <v/>
      </c>
    </row>
    <row r="89" ht="15" customHeight="1" s="56">
      <c r="B89" s="95" t="inlineStr">
        <is>
          <t>C-80-004</t>
        </is>
      </c>
      <c r="C89" s="103" t="inlineStr">
        <is>
          <t>Topsoil replacement - spread+seed</t>
        </is>
      </c>
      <c r="D89" s="95" t="inlineStr">
        <is>
          <t>m2</t>
        </is>
      </c>
      <c r="E89" s="104" t="n">
        <v>0</v>
      </c>
      <c r="F89" s="105">
        <f>'01 Rate Schedule'!Y85</f>
        <v/>
      </c>
      <c r="G89" s="106">
        <f>IF(ISNUMBER(F89),E89*F89,0)</f>
        <v/>
      </c>
      <c r="H89" s="107" t="n">
        <v>0</v>
      </c>
      <c r="I89" s="106">
        <f>E89*H89</f>
        <v/>
      </c>
      <c r="J89" s="108">
        <f>IF(AND(ISNUMBER(F89),F89&gt;0,ISNUMBER(H89),H89&gt;0),(H89-F89)/F89,"")</f>
        <v/>
      </c>
    </row>
    <row r="90" ht="18" customHeight="1" s="56">
      <c r="B90" s="102" t="inlineStr">
        <is>
          <t xml:space="preserve">  I. Blasting</t>
        </is>
      </c>
    </row>
    <row r="91" ht="15" customHeight="1" s="56">
      <c r="B91" s="95" t="inlineStr">
        <is>
          <t>B-01-004</t>
        </is>
      </c>
      <c r="C91" s="103" t="inlineStr">
        <is>
          <t>Controlled blasting near structures - presplit</t>
        </is>
      </c>
      <c r="D91" s="95" t="inlineStr">
        <is>
          <t>m</t>
        </is>
      </c>
      <c r="E91" s="104" t="n">
        <v>0</v>
      </c>
      <c r="F91" s="105">
        <f>'01 Rate Schedule'!Y87</f>
        <v/>
      </c>
      <c r="G91" s="106">
        <f>IF(ISNUMBER(F91),E91*F91,0)</f>
        <v/>
      </c>
      <c r="H91" s="107" t="n">
        <v>0</v>
      </c>
      <c r="I91" s="106">
        <f>E91*H91</f>
        <v/>
      </c>
      <c r="J91" s="108">
        <f>IF(AND(ISNUMBER(F91),F91&gt;0,ISNUMBER(H91),H91&gt;0),(H91-F91)/F91,"")</f>
        <v/>
      </c>
    </row>
    <row r="92" ht="15" customHeight="1" s="56">
      <c r="B92" s="95" t="inlineStr">
        <is>
          <t>B-01-002</t>
        </is>
      </c>
      <c r="C92" s="103" t="inlineStr">
        <is>
          <t>Drill blast hole 89-115mm - rotary drill</t>
        </is>
      </c>
      <c r="D92" s="95" t="inlineStr">
        <is>
          <t>m</t>
        </is>
      </c>
      <c r="E92" s="104" t="n">
        <v>0</v>
      </c>
      <c r="F92" s="105">
        <f>'01 Rate Schedule'!Y88</f>
        <v/>
      </c>
      <c r="G92" s="106">
        <f>IF(ISNUMBER(F92),E92*F92,0)</f>
        <v/>
      </c>
      <c r="H92" s="107" t="n">
        <v>0</v>
      </c>
      <c r="I92" s="106">
        <f>E92*H92</f>
        <v/>
      </c>
      <c r="J92" s="108">
        <f>IF(AND(ISNUMBER(F92),F92&gt;0,ISNUMBER(H92),H92&gt;0),(H92-F92)/F92,"")</f>
        <v/>
      </c>
    </row>
    <row r="93" ht="15" customHeight="1" s="56">
      <c r="B93" s="95" t="inlineStr">
        <is>
          <t>B-01-003</t>
        </is>
      </c>
      <c r="C93" s="103" t="inlineStr">
        <is>
          <t>Rock blasting - drill+charge+blast+clear (all-in)</t>
        </is>
      </c>
      <c r="D93" s="95" t="inlineStr">
        <is>
          <t>m3</t>
        </is>
      </c>
      <c r="E93" s="104" t="n">
        <v>0</v>
      </c>
      <c r="F93" s="105">
        <f>'01 Rate Schedule'!Y89</f>
        <v/>
      </c>
      <c r="G93" s="106">
        <f>IF(ISNUMBER(F93),E93*F93,0)</f>
        <v/>
      </c>
      <c r="H93" s="107" t="n">
        <v>0</v>
      </c>
      <c r="I93" s="106">
        <f>E93*H93</f>
        <v/>
      </c>
      <c r="J93" s="108">
        <f>IF(AND(ISNUMBER(F93),F93&gt;0,ISNUMBER(H93),H93&gt;0),(H93-F93)/F93,"")</f>
        <v/>
      </c>
    </row>
    <row r="94" ht="15" customHeight="1" s="56">
      <c r="B94" s="95" t="inlineStr">
        <is>
          <t>B-01-005</t>
        </is>
      </c>
      <c r="C94" s="103" t="inlineStr">
        <is>
          <t>Secondary breakage / pop shooting</t>
        </is>
      </c>
      <c r="D94" s="95" t="inlineStr">
        <is>
          <t>ea</t>
        </is>
      </c>
      <c r="E94" s="104" t="n">
        <v>0</v>
      </c>
      <c r="F94" s="105">
        <f>'01 Rate Schedule'!Y90</f>
        <v/>
      </c>
      <c r="G94" s="106">
        <f>IF(ISNUMBER(F94),E94*F94,0)</f>
        <v/>
      </c>
      <c r="H94" s="107" t="n">
        <v>0</v>
      </c>
      <c r="I94" s="106">
        <f>E94*H94</f>
        <v/>
      </c>
      <c r="J94" s="108">
        <f>IF(AND(ISNUMBER(F94),F94&gt;0,ISNUMBER(H94),H94&gt;0),(H94-F94)/F94,"")</f>
        <v/>
      </c>
    </row>
    <row r="95" ht="18" customHeight="1" s="56">
      <c r="B95" s="102" t="inlineStr">
        <is>
          <t xml:space="preserve">  J. Dewatering</t>
        </is>
      </c>
    </row>
    <row r="96" ht="15" customHeight="1" s="56">
      <c r="B96" s="95" t="inlineStr">
        <is>
          <t>B-02-004</t>
        </is>
      </c>
      <c r="C96" s="103" t="inlineStr">
        <is>
          <t>Forcemain HDPE 150mm buried - S+I</t>
        </is>
      </c>
      <c r="D96" s="95" t="inlineStr">
        <is>
          <t>m</t>
        </is>
      </c>
      <c r="E96" s="104" t="n">
        <v>0</v>
      </c>
      <c r="F96" s="105">
        <f>'01 Rate Schedule'!Y92</f>
        <v/>
      </c>
      <c r="G96" s="106">
        <f>IF(ISNUMBER(F96),E96*F96,0)</f>
        <v/>
      </c>
      <c r="H96" s="107" t="n">
        <v>0</v>
      </c>
      <c r="I96" s="106">
        <f>E96*H96</f>
        <v/>
      </c>
      <c r="J96" s="108">
        <f>IF(AND(ISNUMBER(F96),F96&gt;0,ISNUMBER(H96),H96&gt;0),(H96-F96)/F96,"")</f>
        <v/>
      </c>
    </row>
    <row r="97" ht="15" customHeight="1" s="56">
      <c r="B97" s="95" t="inlineStr">
        <is>
          <t>B-02-005</t>
        </is>
      </c>
      <c r="C97" s="103" t="inlineStr">
        <is>
          <t>Forcemain HDPE 200mm buried - S+I</t>
        </is>
      </c>
      <c r="D97" s="95" t="inlineStr">
        <is>
          <t>m</t>
        </is>
      </c>
      <c r="E97" s="104" t="n">
        <v>0</v>
      </c>
      <c r="F97" s="105">
        <f>'01 Rate Schedule'!Y93</f>
        <v/>
      </c>
      <c r="G97" s="106">
        <f>IF(ISNUMBER(F97),E97*F97,0)</f>
        <v/>
      </c>
      <c r="H97" s="107" t="n">
        <v>0</v>
      </c>
      <c r="I97" s="106">
        <f>E97*H97</f>
        <v/>
      </c>
      <c r="J97" s="108">
        <f>IF(AND(ISNUMBER(F97),F97&gt;0,ISNUMBER(H97),H97&gt;0),(H97-F97)/F97,"")</f>
        <v/>
      </c>
    </row>
    <row r="98" ht="15" customHeight="1" s="56">
      <c r="B98" s="95" t="inlineStr">
        <is>
          <t>B-02-003</t>
        </is>
      </c>
      <c r="C98" s="103" t="inlineStr">
        <is>
          <t>Submersible pump station - large &gt;50 L/s</t>
        </is>
      </c>
      <c r="D98" s="95" t="inlineStr">
        <is>
          <t>ea</t>
        </is>
      </c>
      <c r="E98" s="104" t="n">
        <v>0</v>
      </c>
      <c r="F98" s="105">
        <f>'01 Rate Schedule'!Y94</f>
        <v/>
      </c>
      <c r="G98" s="106">
        <f>IF(ISNUMBER(F98),E98*F98,0)</f>
        <v/>
      </c>
      <c r="H98" s="107" t="n">
        <v>0</v>
      </c>
      <c r="I98" s="106">
        <f>E98*H98</f>
        <v/>
      </c>
      <c r="J98" s="108">
        <f>IF(AND(ISNUMBER(F98),F98&gt;0,ISNUMBER(H98),H98&gt;0),(H98-F98)/F98,"")</f>
        <v/>
      </c>
    </row>
    <row r="99" ht="15" customHeight="1" s="56">
      <c r="B99" s="95" t="inlineStr">
        <is>
          <t>B-02-002</t>
        </is>
      </c>
      <c r="C99" s="103" t="inlineStr">
        <is>
          <t>Submersible pump station - small &lt;50 L/s</t>
        </is>
      </c>
      <c r="D99" s="95" t="inlineStr">
        <is>
          <t>ea</t>
        </is>
      </c>
      <c r="E99" s="104" t="n">
        <v>0</v>
      </c>
      <c r="F99" s="105">
        <f>'01 Rate Schedule'!Y95</f>
        <v/>
      </c>
      <c r="G99" s="106">
        <f>IF(ISNUMBER(F99),E99*F99,0)</f>
        <v/>
      </c>
      <c r="H99" s="107" t="n">
        <v>0</v>
      </c>
      <c r="I99" s="106">
        <f>E99*H99</f>
        <v/>
      </c>
      <c r="J99" s="108">
        <f>IF(AND(ISNUMBER(F99),F99&gt;0,ISNUMBER(H99),H99&gt;0),(H99-F99)/F99,"")</f>
        <v/>
      </c>
    </row>
    <row r="100" ht="15" customHeight="1" s="56">
      <c r="B100" s="95" t="inlineStr">
        <is>
          <t>B-02-006</t>
        </is>
      </c>
      <c r="C100" s="103" t="inlineStr">
        <is>
          <t>Wellpoint dewatering - install+operate 4wk</t>
        </is>
      </c>
      <c r="D100" s="95" t="inlineStr">
        <is>
          <t>LS</t>
        </is>
      </c>
      <c r="E100" s="104" t="n">
        <v>0</v>
      </c>
      <c r="F100" s="105">
        <f>'01 Rate Schedule'!Y96</f>
        <v/>
      </c>
      <c r="G100" s="106">
        <f>IF(ISNUMBER(F100),E100*F100,0)</f>
        <v/>
      </c>
      <c r="H100" s="107" t="n">
        <v>0</v>
      </c>
      <c r="I100" s="106">
        <f>E100*H100</f>
        <v/>
      </c>
      <c r="J100" s="108">
        <f>IF(AND(ISNUMBER(F100),F100&gt;0,ISNUMBER(H100),H100&gt;0),(H100-F100)/F100,"")</f>
        <v/>
      </c>
    </row>
    <row r="101" ht="18" customHeight="1" s="56">
      <c r="B101" s="102" t="inlineStr">
        <is>
          <t xml:space="preserve">  K. Buried Services</t>
        </is>
      </c>
    </row>
    <row r="102" ht="15" customHeight="1" s="56">
      <c r="B102" s="95" t="inlineStr">
        <is>
          <t>B-03-006</t>
        </is>
      </c>
      <c r="C102" s="103" t="inlineStr">
        <is>
          <t>Concrete thrust block - supply+form+pour</t>
        </is>
      </c>
      <c r="D102" s="95" t="inlineStr">
        <is>
          <t>ea</t>
        </is>
      </c>
      <c r="E102" s="104" t="n">
        <v>0</v>
      </c>
      <c r="F102" s="105">
        <f>'01 Rate Schedule'!Y98</f>
        <v/>
      </c>
      <c r="G102" s="106">
        <f>IF(ISNUMBER(F102),E102*F102,0)</f>
        <v/>
      </c>
      <c r="H102" s="107" t="n">
        <v>0</v>
      </c>
      <c r="I102" s="106">
        <f>E102*H102</f>
        <v/>
      </c>
      <c r="J102" s="108">
        <f>IF(AND(ISNUMBER(F102),F102&gt;0,ISNUMBER(H102),H102&gt;0),(H102-F102)/F102,"")</f>
        <v/>
      </c>
    </row>
    <row r="103" ht="15" customHeight="1" s="56">
      <c r="B103" s="95" t="inlineStr">
        <is>
          <t>B-03-007</t>
        </is>
      </c>
      <c r="C103" s="103" t="inlineStr">
        <is>
          <t>Gate valve 150mm buried - S+I</t>
        </is>
      </c>
      <c r="D103" s="95" t="inlineStr">
        <is>
          <t>ea</t>
        </is>
      </c>
      <c r="E103" s="104" t="n">
        <v>0</v>
      </c>
      <c r="F103" s="105">
        <f>'01 Rate Schedule'!Y99</f>
        <v/>
      </c>
      <c r="G103" s="106">
        <f>IF(ISNUMBER(F103),E103*F103,0)</f>
        <v/>
      </c>
      <c r="H103" s="107" t="n">
        <v>0</v>
      </c>
      <c r="I103" s="106">
        <f>E103*H103</f>
        <v/>
      </c>
      <c r="J103" s="108">
        <f>IF(AND(ISNUMBER(F103),F103&gt;0,ISNUMBER(H103),H103&gt;0),(H103-F103)/F103,"")</f>
        <v/>
      </c>
    </row>
    <row r="104" ht="15" customHeight="1" s="56">
      <c r="B104" s="95" t="inlineStr">
        <is>
          <t>B-03-008</t>
        </is>
      </c>
      <c r="C104" s="103" t="inlineStr">
        <is>
          <t>Hydrant - supply+install</t>
        </is>
      </c>
      <c r="D104" s="95" t="inlineStr">
        <is>
          <t>ea</t>
        </is>
      </c>
      <c r="E104" s="104" t="n">
        <v>0</v>
      </c>
      <c r="F104" s="105">
        <f>'01 Rate Schedule'!Y100</f>
        <v/>
      </c>
      <c r="G104" s="106">
        <f>IF(ISNUMBER(F104),E104*F104,0)</f>
        <v/>
      </c>
      <c r="H104" s="107" t="n">
        <v>0</v>
      </c>
      <c r="I104" s="106">
        <f>E104*H104</f>
        <v/>
      </c>
      <c r="J104" s="108">
        <f>IF(AND(ISNUMBER(F104),F104&gt;0,ISNUMBER(H104),H104&gt;0),(H104-F104)/F104,"")</f>
        <v/>
      </c>
    </row>
    <row r="105" ht="15" customHeight="1" s="56">
      <c r="B105" s="95" t="inlineStr">
        <is>
          <t>B-03-005</t>
        </is>
      </c>
      <c r="C105" s="103" t="inlineStr">
        <is>
          <t>Sanitary manhole precast 1200mm - S+I</t>
        </is>
      </c>
      <c r="D105" s="95" t="inlineStr">
        <is>
          <t>ea</t>
        </is>
      </c>
      <c r="E105" s="104" t="n">
        <v>0</v>
      </c>
      <c r="F105" s="105">
        <f>'01 Rate Schedule'!Y101</f>
        <v/>
      </c>
      <c r="G105" s="106">
        <f>IF(ISNUMBER(F105),E105*F105,0)</f>
        <v/>
      </c>
      <c r="H105" s="107" t="n">
        <v>0</v>
      </c>
      <c r="I105" s="106">
        <f>E105*H105</f>
        <v/>
      </c>
      <c r="J105" s="108">
        <f>IF(AND(ISNUMBER(F105),F105&gt;0,ISNUMBER(H105),H105&gt;0),(H105-F105)/F105,"")</f>
        <v/>
      </c>
    </row>
    <row r="106" ht="15" customHeight="1" s="56">
      <c r="B106" s="95" t="inlineStr">
        <is>
          <t>B-03-004</t>
        </is>
      </c>
      <c r="C106" s="103" t="inlineStr">
        <is>
          <t>Sanitary sewer PVC 150mm buried - S+I</t>
        </is>
      </c>
      <c r="D106" s="95" t="inlineStr">
        <is>
          <t>m</t>
        </is>
      </c>
      <c r="E106" s="104" t="n">
        <v>0</v>
      </c>
      <c r="F106" s="105">
        <f>'01 Rate Schedule'!Y102</f>
        <v/>
      </c>
      <c r="G106" s="106">
        <f>IF(ISNUMBER(F106),E106*F106,0)</f>
        <v/>
      </c>
      <c r="H106" s="107" t="n">
        <v>0</v>
      </c>
      <c r="I106" s="106">
        <f>E106*H106</f>
        <v/>
      </c>
      <c r="J106" s="108">
        <f>IF(AND(ISNUMBER(F106),F106&gt;0,ISNUMBER(H106),H106&gt;0),(H106-F106)/F106,"")</f>
        <v/>
      </c>
    </row>
    <row r="107" ht="15" customHeight="1" s="56">
      <c r="B107" s="95" t="inlineStr">
        <is>
          <t>B-03-002</t>
        </is>
      </c>
      <c r="C107" s="103" t="inlineStr">
        <is>
          <t>Water line HDPE 150mm buried - S+I</t>
        </is>
      </c>
      <c r="D107" s="95" t="inlineStr">
        <is>
          <t>m</t>
        </is>
      </c>
      <c r="E107" s="104" t="n">
        <v>0</v>
      </c>
      <c r="F107" s="105">
        <f>'01 Rate Schedule'!Y103</f>
        <v/>
      </c>
      <c r="G107" s="106">
        <f>IF(ISNUMBER(F107),E107*F107,0)</f>
        <v/>
      </c>
      <c r="H107" s="107" t="n">
        <v>0</v>
      </c>
      <c r="I107" s="106">
        <f>E107*H107</f>
        <v/>
      </c>
      <c r="J107" s="108">
        <f>IF(AND(ISNUMBER(F107),F107&gt;0,ISNUMBER(H107),H107&gt;0),(H107-F107)/F107,"")</f>
        <v/>
      </c>
    </row>
    <row r="108" ht="15" customHeight="1" s="56">
      <c r="B108" s="95" t="inlineStr">
        <is>
          <t>B-03-003</t>
        </is>
      </c>
      <c r="C108" s="103" t="inlineStr">
        <is>
          <t>Water line HDPE 200mm buried - S+I</t>
        </is>
      </c>
      <c r="D108" s="95" t="inlineStr">
        <is>
          <t>m</t>
        </is>
      </c>
      <c r="E108" s="104" t="n">
        <v>0</v>
      </c>
      <c r="F108" s="105">
        <f>'01 Rate Schedule'!Y104</f>
        <v/>
      </c>
      <c r="G108" s="106">
        <f>IF(ISNUMBER(F108),E108*F108,0)</f>
        <v/>
      </c>
      <c r="H108" s="107" t="n">
        <v>0</v>
      </c>
      <c r="I108" s="106">
        <f>E108*H108</f>
        <v/>
      </c>
      <c r="J108" s="108">
        <f>IF(AND(ISNUMBER(F108),F108&gt;0,ISNUMBER(H108),H108&gt;0),(H108-F108)/F108,"")</f>
        <v/>
      </c>
    </row>
    <row r="109" ht="18" customHeight="1" s="56">
      <c r="B109" s="102" t="inlineStr">
        <is>
          <t xml:space="preserve">  L. Concrete Paving</t>
        </is>
      </c>
    </row>
    <row r="110" ht="15" customHeight="1" s="56">
      <c r="B110" s="95" t="inlineStr">
        <is>
          <t>B-04-003</t>
        </is>
      </c>
      <c r="C110" s="103" t="inlineStr">
        <is>
          <t>Concrete curb and gutter - S+F+P</t>
        </is>
      </c>
      <c r="D110" s="95" t="inlineStr">
        <is>
          <t>m</t>
        </is>
      </c>
      <c r="E110" s="104" t="n">
        <v>0</v>
      </c>
      <c r="F110" s="105">
        <f>'01 Rate Schedule'!Y106</f>
        <v/>
      </c>
      <c r="G110" s="106">
        <f>IF(ISNUMBER(F110),E110*F110,0)</f>
        <v/>
      </c>
      <c r="H110" s="107" t="n">
        <v>0</v>
      </c>
      <c r="I110" s="106">
        <f>E110*H110</f>
        <v/>
      </c>
      <c r="J110" s="108">
        <f>IF(AND(ISNUMBER(F110),F110&gt;0,ISNUMBER(H110),H110&gt;0),(H110-F110)/F110,"")</f>
        <v/>
      </c>
    </row>
    <row r="111" ht="15" customHeight="1" s="56">
      <c r="B111" s="95" t="inlineStr">
        <is>
          <t>B-04-002</t>
        </is>
      </c>
      <c r="C111" s="103" t="inlineStr">
        <is>
          <t>Concrete paving 250mm reinforced - S+P</t>
        </is>
      </c>
      <c r="D111" s="95" t="inlineStr">
        <is>
          <t>m2</t>
        </is>
      </c>
      <c r="E111" s="104" t="n">
        <v>0</v>
      </c>
      <c r="F111" s="105">
        <f>'01 Rate Schedule'!Y107</f>
        <v/>
      </c>
      <c r="G111" s="106">
        <f>IF(ISNUMBER(F111),E111*F111,0)</f>
        <v/>
      </c>
      <c r="H111" s="107" t="n">
        <v>0</v>
      </c>
      <c r="I111" s="106">
        <f>E111*H111</f>
        <v/>
      </c>
      <c r="J111" s="108">
        <f>IF(AND(ISNUMBER(F111),F111&gt;0,ISNUMBER(H111),H111&gt;0),(H111-F111)/F111,"")</f>
        <v/>
      </c>
    </row>
    <row r="112" ht="15" customHeight="1" s="56">
      <c r="B112" s="95" t="inlineStr">
        <is>
          <t>B-04-004</t>
        </is>
      </c>
      <c r="C112" s="103" t="inlineStr">
        <is>
          <t>Concrete wheel wash pad - supply+construct</t>
        </is>
      </c>
      <c r="D112" s="95" t="inlineStr">
        <is>
          <t>ea</t>
        </is>
      </c>
      <c r="E112" s="104" t="n">
        <v>0</v>
      </c>
      <c r="F112" s="105">
        <f>'01 Rate Schedule'!Y108</f>
        <v/>
      </c>
      <c r="G112" s="106">
        <f>IF(ISNUMBER(F112),E112*F112,0)</f>
        <v/>
      </c>
      <c r="H112" s="107" t="n">
        <v>0</v>
      </c>
      <c r="I112" s="106">
        <f>E112*H112</f>
        <v/>
      </c>
      <c r="J112" s="108">
        <f>IF(AND(ISNUMBER(F112),F112&gt;0,ISNUMBER(H112),H112&gt;0),(H112-F112)/F112,"")</f>
        <v/>
      </c>
    </row>
    <row r="113" ht="18" customHeight="1" s="56">
      <c r="B113" s="102" t="inlineStr">
        <is>
          <t xml:space="preserve">  M. Fencing</t>
        </is>
      </c>
    </row>
    <row r="114" ht="15" customHeight="1" s="56">
      <c r="B114" s="95" t="inlineStr">
        <is>
          <t>B-05-002</t>
        </is>
      </c>
      <c r="C114" s="103" t="inlineStr">
        <is>
          <t>Chain link fence 2.4m security - S+I</t>
        </is>
      </c>
      <c r="D114" s="95" t="inlineStr">
        <is>
          <t>m</t>
        </is>
      </c>
      <c r="E114" s="104" t="n">
        <v>0</v>
      </c>
      <c r="F114" s="105">
        <f>'01 Rate Schedule'!Y110</f>
        <v/>
      </c>
      <c r="G114" s="106">
        <f>IF(ISNUMBER(F114),E114*F114,0)</f>
        <v/>
      </c>
      <c r="H114" s="107" t="n">
        <v>0</v>
      </c>
      <c r="I114" s="106">
        <f>E114*H114</f>
        <v/>
      </c>
      <c r="J114" s="108">
        <f>IF(AND(ISNUMBER(F114),F114&gt;0,ISNUMBER(H114),H114&gt;0),(H114-F114)/F114,"")</f>
        <v/>
      </c>
    </row>
    <row r="115" ht="15" customHeight="1" s="56">
      <c r="B115" s="95" t="inlineStr">
        <is>
          <t>B-05-005</t>
        </is>
      </c>
      <c r="C115" s="103" t="inlineStr">
        <is>
          <t>Fence gate double swing 8m - S+I</t>
        </is>
      </c>
      <c r="D115" s="95" t="inlineStr">
        <is>
          <t>ea</t>
        </is>
      </c>
      <c r="E115" s="104" t="n">
        <v>0</v>
      </c>
      <c r="F115" s="105">
        <f>'01 Rate Schedule'!Y111</f>
        <v/>
      </c>
      <c r="G115" s="106">
        <f>IF(ISNUMBER(F115),E115*F115,0)</f>
        <v/>
      </c>
      <c r="H115" s="107" t="n">
        <v>0</v>
      </c>
      <c r="I115" s="106">
        <f>E115*H115</f>
        <v/>
      </c>
      <c r="J115" s="108">
        <f>IF(AND(ISNUMBER(F115),F115&gt;0,ISNUMBER(H115),H115&gt;0),(H115-F115)/F115,"")</f>
        <v/>
      </c>
    </row>
    <row r="116" ht="15" customHeight="1" s="56">
      <c r="B116" s="95" t="inlineStr">
        <is>
          <t>B-05-004</t>
        </is>
      </c>
      <c r="C116" s="103" t="inlineStr">
        <is>
          <t>Fence gate single swing 4m - S+I</t>
        </is>
      </c>
      <c r="D116" s="95" t="inlineStr">
        <is>
          <t>ea</t>
        </is>
      </c>
      <c r="E116" s="104" t="n">
        <v>0</v>
      </c>
      <c r="F116" s="105">
        <f>'01 Rate Schedule'!Y112</f>
        <v/>
      </c>
      <c r="G116" s="106">
        <f>IF(ISNUMBER(F116),E116*F116,0)</f>
        <v/>
      </c>
      <c r="H116" s="107" t="n">
        <v>0</v>
      </c>
      <c r="I116" s="106">
        <f>E116*H116</f>
        <v/>
      </c>
      <c r="J116" s="108">
        <f>IF(AND(ISNUMBER(F116),F116&gt;0,ISNUMBER(H116),H116&gt;0),(H116-F116)/F116,"")</f>
        <v/>
      </c>
    </row>
    <row r="117" ht="15" customHeight="1" s="56">
      <c r="B117" s="95" t="inlineStr">
        <is>
          <t>B-05-003</t>
        </is>
      </c>
      <c r="C117" s="103" t="inlineStr">
        <is>
          <t>Wildlife exclusion fence 2.4m electrified</t>
        </is>
      </c>
      <c r="D117" s="95" t="inlineStr">
        <is>
          <t>m</t>
        </is>
      </c>
      <c r="E117" s="104" t="n">
        <v>0</v>
      </c>
      <c r="F117" s="105">
        <f>'01 Rate Schedule'!Y113</f>
        <v/>
      </c>
      <c r="G117" s="106">
        <f>IF(ISNUMBER(F117),E117*F117,0)</f>
        <v/>
      </c>
      <c r="H117" s="107" t="n">
        <v>0</v>
      </c>
      <c r="I117" s="106">
        <f>E117*H117</f>
        <v/>
      </c>
      <c r="J117" s="108">
        <f>IF(AND(ISNUMBER(F117),F117&gt;0,ISNUMBER(H117),H117&gt;0),(H117-F117)/F117,"")</f>
        <v/>
      </c>
    </row>
    <row r="118" ht="18" customHeight="1" s="56">
      <c r="B118" s="102" t="inlineStr">
        <is>
          <t xml:space="preserve">  N. Signage/Traffic</t>
        </is>
      </c>
    </row>
    <row r="119" ht="15" customHeight="1" s="56">
      <c r="B119" s="95" t="inlineStr">
        <is>
          <t>B-06-003</t>
        </is>
      </c>
      <c r="C119" s="103" t="inlineStr">
        <is>
          <t>Dust suppression - calcium chloride</t>
        </is>
      </c>
      <c r="D119" s="95" t="inlineStr">
        <is>
          <t>tonne</t>
        </is>
      </c>
      <c r="E119" s="104" t="n">
        <v>0</v>
      </c>
      <c r="F119" s="105">
        <f>'01 Rate Schedule'!Y115</f>
        <v/>
      </c>
      <c r="G119" s="106">
        <f>IF(ISNUMBER(F119),E119*F119,0)</f>
        <v/>
      </c>
      <c r="H119" s="107" t="n">
        <v>0</v>
      </c>
      <c r="I119" s="106">
        <f>E119*H119</f>
        <v/>
      </c>
      <c r="J119" s="108">
        <f>IF(AND(ISNUMBER(F119),F119&gt;0,ISNUMBER(H119),H119&gt;0),(H119-F119)/F119,"")</f>
        <v/>
      </c>
    </row>
    <row r="120" ht="15" customHeight="1" s="56">
      <c r="B120" s="95" t="inlineStr">
        <is>
          <t>B-06-002</t>
        </is>
      </c>
      <c r="C120" s="103" t="inlineStr">
        <is>
          <t>Traffic control flagging - per shift</t>
        </is>
      </c>
      <c r="D120" s="95" t="inlineStr">
        <is>
          <t>shift</t>
        </is>
      </c>
      <c r="E120" s="104" t="n">
        <v>0</v>
      </c>
      <c r="F120" s="105">
        <f>'01 Rate Schedule'!Y116</f>
        <v/>
      </c>
      <c r="G120" s="106">
        <f>IF(ISNUMBER(F120),E120*F120,0)</f>
        <v/>
      </c>
      <c r="H120" s="107" t="n">
        <v>0</v>
      </c>
      <c r="I120" s="106">
        <f>E120*H120</f>
        <v/>
      </c>
      <c r="J120" s="108">
        <f>IF(AND(ISNUMBER(F120),F120&gt;0,ISNUMBER(H120),H120&gt;0),(H120-F120)/F120,"")</f>
        <v/>
      </c>
    </row>
    <row r="121" ht="18" customHeight="1" s="56">
      <c r="B121" s="102" t="inlineStr">
        <is>
          <t xml:space="preserve">  O. Rock Anchors</t>
        </is>
      </c>
    </row>
    <row r="122" ht="15" customHeight="1" s="56">
      <c r="B122" s="95" t="inlineStr">
        <is>
          <t>B-07-002</t>
        </is>
      </c>
      <c r="C122" s="103" t="inlineStr">
        <is>
          <t>Rock anchor active tensioned 32mm strand</t>
        </is>
      </c>
      <c r="D122" s="95" t="inlineStr">
        <is>
          <t>ea</t>
        </is>
      </c>
      <c r="E122" s="104" t="n">
        <v>0</v>
      </c>
      <c r="F122" s="105">
        <f>'01 Rate Schedule'!Y118</f>
        <v/>
      </c>
      <c r="G122" s="106">
        <f>IF(ISNUMBER(F122),E122*F122,0)</f>
        <v/>
      </c>
      <c r="H122" s="107" t="n">
        <v>0</v>
      </c>
      <c r="I122" s="106">
        <f>E122*H122</f>
        <v/>
      </c>
      <c r="J122" s="108">
        <f>IF(AND(ISNUMBER(F122),F122&gt;0,ISNUMBER(H122),H122&gt;0),(H122-F122)/F122,"")</f>
        <v/>
      </c>
    </row>
    <row r="123" ht="15" customHeight="1" s="56">
      <c r="B123" s="95" t="inlineStr">
        <is>
          <t>B-07-004</t>
        </is>
      </c>
      <c r="C123" s="103" t="inlineStr">
        <is>
          <t>Shotcrete with fibre 75mm - supply+apply</t>
        </is>
      </c>
      <c r="D123" s="95" t="inlineStr">
        <is>
          <t>m2</t>
        </is>
      </c>
      <c r="E123" s="104" t="n">
        <v>0</v>
      </c>
      <c r="F123" s="105">
        <f>'01 Rate Schedule'!Y119</f>
        <v/>
      </c>
      <c r="G123" s="106">
        <f>IF(ISNUMBER(F123),E123*F123,0)</f>
        <v/>
      </c>
      <c r="H123" s="107" t="n">
        <v>0</v>
      </c>
      <c r="I123" s="106">
        <f>E123*H123</f>
        <v/>
      </c>
      <c r="J123" s="108">
        <f>IF(AND(ISNUMBER(F123),F123&gt;0,ISNUMBER(H123),H123&gt;0),(H123-F123)/F123,"")</f>
        <v/>
      </c>
    </row>
    <row r="124" ht="15" customHeight="1" s="56">
      <c r="B124" s="95" t="inlineStr">
        <is>
          <t>B-07-005</t>
        </is>
      </c>
      <c r="C124" s="103" t="inlineStr">
        <is>
          <t>Shotcrete with wire mesh 100mm - S+A</t>
        </is>
      </c>
      <c r="D124" s="95" t="inlineStr">
        <is>
          <t>m2</t>
        </is>
      </c>
      <c r="E124" s="104" t="n">
        <v>0</v>
      </c>
      <c r="F124" s="105">
        <f>'01 Rate Schedule'!Y120</f>
        <v/>
      </c>
      <c r="G124" s="106">
        <f>IF(ISNUMBER(F124),E124*F124,0)</f>
        <v/>
      </c>
      <c r="H124" s="107" t="n">
        <v>0</v>
      </c>
      <c r="I124" s="106">
        <f>E124*H124</f>
        <v/>
      </c>
      <c r="J124" s="108">
        <f>IF(AND(ISNUMBER(F124),F124&gt;0,ISNUMBER(H124),H124&gt;0),(H124-F124)/F124,"")</f>
        <v/>
      </c>
    </row>
    <row r="125" ht="15" customHeight="1" s="56">
      <c r="B125" s="95" t="inlineStr">
        <is>
          <t>B-07-003</t>
        </is>
      </c>
      <c r="C125" s="103" t="inlineStr">
        <is>
          <t>Wire mesh rockfall protection - supply+pin</t>
        </is>
      </c>
      <c r="D125" s="95" t="inlineStr">
        <is>
          <t>m2</t>
        </is>
      </c>
      <c r="E125" s="104" t="n">
        <v>0</v>
      </c>
      <c r="F125" s="105">
        <f>'01 Rate Schedule'!Y121</f>
        <v/>
      </c>
      <c r="G125" s="106">
        <f>IF(ISNUMBER(F125),E125*F125,0)</f>
        <v/>
      </c>
      <c r="H125" s="107" t="n">
        <v>0</v>
      </c>
      <c r="I125" s="106">
        <f>E125*H125</f>
        <v/>
      </c>
      <c r="J125" s="108">
        <f>IF(AND(ISNUMBER(F125),F125&gt;0,ISNUMBER(H125),H125&gt;0),(H125-F125)/F125,"")</f>
        <v/>
      </c>
    </row>
    <row r="126" ht="18" customHeight="1" s="56">
      <c r="B126" s="102" t="inlineStr">
        <is>
          <t xml:space="preserve">  P. Culvert Structures</t>
        </is>
      </c>
    </row>
    <row r="127" ht="15" customHeight="1" s="56">
      <c r="B127" s="95" t="inlineStr">
        <is>
          <t>B-08-004</t>
        </is>
      </c>
      <c r="C127" s="103" t="inlineStr">
        <is>
          <t>Headwall concrete - supply+form+pour</t>
        </is>
      </c>
      <c r="D127" s="95" t="inlineStr">
        <is>
          <t>ea</t>
        </is>
      </c>
      <c r="E127" s="104" t="n">
        <v>0</v>
      </c>
      <c r="F127" s="105">
        <f>'01 Rate Schedule'!Y123</f>
        <v/>
      </c>
      <c r="G127" s="106">
        <f>IF(ISNUMBER(F127),E127*F127,0)</f>
        <v/>
      </c>
      <c r="H127" s="107" t="n">
        <v>0</v>
      </c>
      <c r="I127" s="106">
        <f>E127*H127</f>
        <v/>
      </c>
      <c r="J127" s="108">
        <f>IF(AND(ISNUMBER(F127),F127&gt;0,ISNUMBER(H127),H127&gt;0),(H127-F127)/F127,"")</f>
        <v/>
      </c>
    </row>
    <row r="128" ht="15" customHeight="1" s="56">
      <c r="B128" s="95" t="inlineStr">
        <is>
          <t>B-08-003</t>
        </is>
      </c>
      <c r="C128" s="103" t="inlineStr">
        <is>
          <t>Precast arch culvert 3000mm span - S+I</t>
        </is>
      </c>
      <c r="D128" s="95" t="inlineStr">
        <is>
          <t>m</t>
        </is>
      </c>
      <c r="E128" s="104" t="n">
        <v>0</v>
      </c>
      <c r="F128" s="105">
        <f>'01 Rate Schedule'!Y124</f>
        <v/>
      </c>
      <c r="G128" s="106">
        <f>IF(ISNUMBER(F128),E128*F128,0)</f>
        <v/>
      </c>
      <c r="H128" s="107" t="n">
        <v>0</v>
      </c>
      <c r="I128" s="106">
        <f>E128*H128</f>
        <v/>
      </c>
      <c r="J128" s="108">
        <f>IF(AND(ISNUMBER(F128),F128&gt;0,ISNUMBER(H128),H128&gt;0),(H128-F128)/F128,"")</f>
        <v/>
      </c>
    </row>
    <row r="129" ht="15" customHeight="1" s="56">
      <c r="B129" s="95" t="inlineStr">
        <is>
          <t>B-08-002</t>
        </is>
      </c>
      <c r="C129" s="103" t="inlineStr">
        <is>
          <t>Precast box culvert 2400x1800mm - S+I</t>
        </is>
      </c>
      <c r="D129" s="95" t="inlineStr">
        <is>
          <t>m</t>
        </is>
      </c>
      <c r="E129" s="104" t="n">
        <v>0</v>
      </c>
      <c r="F129" s="105">
        <f>'01 Rate Schedule'!Y125</f>
        <v/>
      </c>
      <c r="G129" s="106">
        <f>IF(ISNUMBER(F129),E129*F129,0)</f>
        <v/>
      </c>
      <c r="H129" s="107" t="n">
        <v>0</v>
      </c>
      <c r="I129" s="106">
        <f>E129*H129</f>
        <v/>
      </c>
      <c r="J129" s="108">
        <f>IF(AND(ISNUMBER(F129),F129&gt;0,ISNUMBER(H129),H129&gt;0),(H129-F129)/F129,"")</f>
        <v/>
      </c>
    </row>
    <row r="130" ht="18" customHeight="1" s="56">
      <c r="B130" s="102" t="inlineStr">
        <is>
          <t xml:space="preserve">  Q. Crushing</t>
        </is>
      </c>
    </row>
    <row r="131" ht="15" customHeight="1" s="56">
      <c r="B131" s="95" t="inlineStr">
        <is>
          <t>B-09-002</t>
        </is>
      </c>
      <c r="C131" s="103" t="inlineStr">
        <is>
          <t>Crushing Granular A/B (on-site portable plant)</t>
        </is>
      </c>
      <c r="D131" s="95" t="inlineStr">
        <is>
          <t>tonne</t>
        </is>
      </c>
      <c r="E131" s="104" t="n">
        <v>0</v>
      </c>
      <c r="F131" s="105">
        <f>'01 Rate Schedule'!Y127</f>
        <v/>
      </c>
      <c r="G131" s="106">
        <f>IF(ISNUMBER(F131),E131*F131,0)</f>
        <v/>
      </c>
      <c r="H131" s="107" t="n">
        <v>0</v>
      </c>
      <c r="I131" s="106">
        <f>E131*H131</f>
        <v/>
      </c>
      <c r="J131" s="108">
        <f>IF(AND(ISNUMBER(F131),F131&gt;0,ISNUMBER(H131),H131&gt;0),(H131-F131)/F131,"")</f>
        <v/>
      </c>
    </row>
    <row r="132" ht="15" customHeight="1" s="56">
      <c r="B132" s="95" t="inlineStr">
        <is>
          <t>B-09-004</t>
        </is>
      </c>
      <c r="C132" s="103" t="inlineStr">
        <is>
          <t>Crushing fines / sand bedding (on-site)</t>
        </is>
      </c>
      <c r="D132" s="95" t="inlineStr">
        <is>
          <t>tonne</t>
        </is>
      </c>
      <c r="E132" s="104" t="n">
        <v>0</v>
      </c>
      <c r="F132" s="105">
        <f>'01 Rate Schedule'!Y128</f>
        <v/>
      </c>
      <c r="G132" s="106">
        <f>IF(ISNUMBER(F132),E132*F132,0)</f>
        <v/>
      </c>
      <c r="H132" s="107" t="n">
        <v>0</v>
      </c>
      <c r="I132" s="106">
        <f>E132*H132</f>
        <v/>
      </c>
      <c r="J132" s="108">
        <f>IF(AND(ISNUMBER(F132),F132&gt;0,ISNUMBER(H132),H132&gt;0),(H132-F132)/F132,"")</f>
        <v/>
      </c>
    </row>
    <row r="133" ht="15" customHeight="1" s="56">
      <c r="B133" s="95" t="inlineStr">
        <is>
          <t>B-09-003</t>
        </is>
      </c>
      <c r="C133" s="103" t="inlineStr">
        <is>
          <t>Crushing riprap D50 150-600mm (on-site)</t>
        </is>
      </c>
      <c r="D133" s="95" t="inlineStr">
        <is>
          <t>tonne</t>
        </is>
      </c>
      <c r="E133" s="104" t="n">
        <v>0</v>
      </c>
      <c r="F133" s="105">
        <f>'01 Rate Schedule'!Y129</f>
        <v/>
      </c>
      <c r="G133" s="106">
        <f>IF(ISNUMBER(F133),E133*F133,0)</f>
        <v/>
      </c>
      <c r="H133" s="107" t="n">
        <v>0</v>
      </c>
      <c r="I133" s="106">
        <f>E133*H133</f>
        <v/>
      </c>
      <c r="J133" s="108">
        <f>IF(AND(ISNUMBER(F133),F133&gt;0,ISNUMBER(H133),H133&gt;0),(H133-F133)/F133,"")</f>
        <v/>
      </c>
    </row>
    <row r="134" ht="15" customHeight="1" s="56">
      <c r="B134" s="95" t="inlineStr">
        <is>
          <t>B-09-007</t>
        </is>
      </c>
      <c r="C134" s="103" t="inlineStr">
        <is>
          <t>Mob/demob portable crushing plant 180-350 tph</t>
        </is>
      </c>
      <c r="D134" s="95" t="inlineStr">
        <is>
          <t>LS</t>
        </is>
      </c>
      <c r="E134" s="104" t="n">
        <v>0</v>
      </c>
      <c r="F134" s="105">
        <f>'01 Rate Schedule'!Y130</f>
        <v/>
      </c>
      <c r="G134" s="106">
        <f>IF(ISNUMBER(F134),E134*F134,0)</f>
        <v/>
      </c>
      <c r="H134" s="107" t="n">
        <v>0</v>
      </c>
      <c r="I134" s="106">
        <f>E134*H134</f>
        <v/>
      </c>
      <c r="J134" s="108">
        <f>IF(AND(ISNUMBER(F134),F134&gt;0,ISNUMBER(H134),H134&gt;0),(H134-F134)/F134,"")</f>
        <v/>
      </c>
    </row>
    <row r="135" ht="15" customHeight="1" s="56">
      <c r="B135" s="95" t="inlineStr">
        <is>
          <t>B-09-005</t>
        </is>
      </c>
      <c r="C135" s="103" t="inlineStr">
        <is>
          <t>Trucked-in Granular A - supply+haul 50km</t>
        </is>
      </c>
      <c r="D135" s="95" t="inlineStr">
        <is>
          <t>tonne</t>
        </is>
      </c>
      <c r="E135" s="104" t="n">
        <v>0</v>
      </c>
      <c r="F135" s="105">
        <f>'01 Rate Schedule'!Y131</f>
        <v/>
      </c>
      <c r="G135" s="106">
        <f>IF(ISNUMBER(F135),E135*F135,0)</f>
        <v/>
      </c>
      <c r="H135" s="107" t="n">
        <v>0</v>
      </c>
      <c r="I135" s="106">
        <f>E135*H135</f>
        <v/>
      </c>
      <c r="J135" s="108">
        <f>IF(AND(ISNUMBER(F135),F135&gt;0,ISNUMBER(H135),H135&gt;0),(H135-F135)/F135,"")</f>
        <v/>
      </c>
    </row>
    <row r="136" ht="15" customHeight="1" s="56">
      <c r="B136" s="95" t="inlineStr">
        <is>
          <t>B-09-006</t>
        </is>
      </c>
      <c r="C136" s="103" t="inlineStr">
        <is>
          <t>Trucked-in riprap D50 300mm - supply+haul</t>
        </is>
      </c>
      <c r="D136" s="95" t="inlineStr">
        <is>
          <t>tonne</t>
        </is>
      </c>
      <c r="E136" s="104" t="n">
        <v>0</v>
      </c>
      <c r="F136" s="105">
        <f>'01 Rate Schedule'!Y132</f>
        <v/>
      </c>
      <c r="G136" s="106">
        <f>IF(ISNUMBER(F136),E136*F136,0)</f>
        <v/>
      </c>
      <c r="H136" s="107" t="n">
        <v>0</v>
      </c>
      <c r="I136" s="106">
        <f>E136*H136</f>
        <v/>
      </c>
      <c r="J136" s="108">
        <f>IF(AND(ISNUMBER(F136),F136&gt;0,ISNUMBER(H136),H136&gt;0),(H136-F136)/F136,"")</f>
        <v/>
      </c>
    </row>
    <row r="137" ht="18" customHeight="1" s="56">
      <c r="B137" s="102" t="inlineStr">
        <is>
          <t xml:space="preserve">  R. Underground</t>
        </is>
      </c>
    </row>
    <row r="138" ht="15" customHeight="1" s="56">
      <c r="B138" s="95" t="inlineStr">
        <is>
          <t>U-10-007</t>
        </is>
      </c>
      <c r="C138" s="103" t="inlineStr">
        <is>
          <t>Ground support - rock bolts 2.4m resin</t>
        </is>
      </c>
      <c r="D138" s="95" t="inlineStr">
        <is>
          <t>ea</t>
        </is>
      </c>
      <c r="E138" s="104" t="n">
        <v>0</v>
      </c>
      <c r="F138" s="105">
        <f>'01 Rate Schedule'!Y134</f>
        <v/>
      </c>
      <c r="G138" s="106">
        <f>IF(ISNUMBER(F138),E138*F138,0)</f>
        <v/>
      </c>
      <c r="H138" s="107" t="n">
        <v>0</v>
      </c>
      <c r="I138" s="106">
        <f>E138*H138</f>
        <v/>
      </c>
      <c r="J138" s="108">
        <f>IF(AND(ISNUMBER(F138),F138&gt;0,ISNUMBER(H138),H138&gt;0),(H138-F138)/F138,"")</f>
        <v/>
      </c>
    </row>
    <row r="139" ht="15" customHeight="1" s="56">
      <c r="B139" s="95" t="inlineStr">
        <is>
          <t>U-10-008</t>
        </is>
      </c>
      <c r="C139" s="103" t="inlineStr">
        <is>
          <t>Ground support - shotcrete+mesh 75-100mm UG</t>
        </is>
      </c>
      <c r="D139" s="95" t="inlineStr">
        <is>
          <t>m2</t>
        </is>
      </c>
      <c r="E139" s="104" t="n">
        <v>0</v>
      </c>
      <c r="F139" s="105">
        <f>'01 Rate Schedule'!Y135</f>
        <v/>
      </c>
      <c r="G139" s="106">
        <f>IF(ISNUMBER(F139),E139*F139,0)</f>
        <v/>
      </c>
      <c r="H139" s="107" t="n">
        <v>0</v>
      </c>
      <c r="I139" s="106">
        <f>E139*H139</f>
        <v/>
      </c>
      <c r="J139" s="108">
        <f>IF(AND(ISNUMBER(F139),F139&gt;0,ISNUMBER(H139),H139&gt;0),(H139-F139)/F139,"")</f>
        <v/>
      </c>
    </row>
    <row r="140" ht="15" customHeight="1" s="56">
      <c r="B140" s="95" t="inlineStr">
        <is>
          <t>U-10-003</t>
        </is>
      </c>
      <c r="C140" s="103" t="inlineStr">
        <is>
          <t>Lateral development 5×5m drift - D&amp;B+mucking</t>
        </is>
      </c>
      <c r="D140" s="95" t="inlineStr">
        <is>
          <t>m</t>
        </is>
      </c>
      <c r="E140" s="104" t="n">
        <v>0</v>
      </c>
      <c r="F140" s="105">
        <f>'01 Rate Schedule'!Y136</f>
        <v/>
      </c>
      <c r="G140" s="106">
        <f>IF(ISNUMBER(F140),E140*F140,0)</f>
        <v/>
      </c>
      <c r="H140" s="107" t="n">
        <v>0</v>
      </c>
      <c r="I140" s="106">
        <f>E140*H140</f>
        <v/>
      </c>
      <c r="J140" s="108">
        <f>IF(AND(ISNUMBER(F140),F140&gt;0,ISNUMBER(H140),H140&gt;0),(H140-F140)/F140,"")</f>
        <v/>
      </c>
    </row>
    <row r="141" ht="15" customHeight="1" s="56">
      <c r="B141" s="95" t="inlineStr">
        <is>
          <t>U-10-011</t>
        </is>
      </c>
      <c r="C141" s="103" t="inlineStr">
        <is>
          <t>Mucking and tramming - UG 1-2 km</t>
        </is>
      </c>
      <c r="D141" s="95" t="inlineStr">
        <is>
          <t>tonne</t>
        </is>
      </c>
      <c r="E141" s="104" t="n">
        <v>0</v>
      </c>
      <c r="F141" s="105">
        <f>'01 Rate Schedule'!Y137</f>
        <v/>
      </c>
      <c r="G141" s="106">
        <f>IF(ISNUMBER(F141),E141*F141,0)</f>
        <v/>
      </c>
      <c r="H141" s="107" t="n">
        <v>0</v>
      </c>
      <c r="I141" s="106">
        <f>E141*H141</f>
        <v/>
      </c>
      <c r="J141" s="108">
        <f>IF(AND(ISNUMBER(F141),F141&gt;0,ISNUMBER(H141),H141&gt;0),(H141-F141)/F141,"")</f>
        <v/>
      </c>
    </row>
    <row r="142" ht="15" customHeight="1" s="56">
      <c r="B142" s="95" t="inlineStr">
        <is>
          <t>U-10-005</t>
        </is>
      </c>
      <c r="C142" s="103" t="inlineStr">
        <is>
          <t>Raise bore 3m dia</t>
        </is>
      </c>
      <c r="D142" s="95" t="inlineStr">
        <is>
          <t>m</t>
        </is>
      </c>
      <c r="E142" s="104" t="n">
        <v>0</v>
      </c>
      <c r="F142" s="105">
        <f>'01 Rate Schedule'!Y138</f>
        <v/>
      </c>
      <c r="G142" s="106">
        <f>IF(ISNUMBER(F142),E142*F142,0)</f>
        <v/>
      </c>
      <c r="H142" s="107" t="n">
        <v>0</v>
      </c>
      <c r="I142" s="106">
        <f>E142*H142</f>
        <v/>
      </c>
      <c r="J142" s="108">
        <f>IF(AND(ISNUMBER(F142),F142&gt;0,ISNUMBER(H142),H142&gt;0),(H142-F142)/F142,"")</f>
        <v/>
      </c>
    </row>
    <row r="143" ht="15" customHeight="1" s="56">
      <c r="B143" s="95" t="inlineStr">
        <is>
          <t>U-10-001</t>
        </is>
      </c>
      <c r="C143" s="103" t="inlineStr">
        <is>
          <t>Shaft sinking 6m dia - D&amp;B incl. ground support</t>
        </is>
      </c>
      <c r="D143" s="95" t="inlineStr">
        <is>
          <t>m</t>
        </is>
      </c>
      <c r="E143" s="104" t="n">
        <v>0</v>
      </c>
      <c r="F143" s="105">
        <f>'01 Rate Schedule'!Y139</f>
        <v/>
      </c>
      <c r="G143" s="106">
        <f>IF(ISNUMBER(F143),E143*F143,0)</f>
        <v/>
      </c>
      <c r="H143" s="107" t="n">
        <v>0</v>
      </c>
      <c r="I143" s="106">
        <f>E143*H143</f>
        <v/>
      </c>
      <c r="J143" s="108">
        <f>IF(AND(ISNUMBER(F143),F143&gt;0,ISNUMBER(H143),H143&gt;0),(H143-F143)/F143,"")</f>
        <v/>
      </c>
    </row>
    <row r="144" ht="15" customHeight="1" s="56">
      <c r="B144" s="95" t="inlineStr">
        <is>
          <t>U-10-012</t>
        </is>
      </c>
      <c r="C144" s="103" t="inlineStr">
        <is>
          <t>Stope backfill - paste fill placement</t>
        </is>
      </c>
      <c r="D144" s="95" t="inlineStr">
        <is>
          <t>m3</t>
        </is>
      </c>
      <c r="E144" s="104" t="n">
        <v>0</v>
      </c>
      <c r="F144" s="105">
        <f>'01 Rate Schedule'!Y140</f>
        <v/>
      </c>
      <c r="G144" s="106">
        <f>IF(ISNUMBER(F144),E144*F144,0)</f>
        <v/>
      </c>
      <c r="H144" s="107" t="n">
        <v>0</v>
      </c>
      <c r="I144" s="106">
        <f>E144*H144</f>
        <v/>
      </c>
      <c r="J144" s="108">
        <f>IF(AND(ISNUMBER(F144),F144&gt;0,ISNUMBER(H144),H144&gt;0),(H144-F144)/F144,"")</f>
        <v/>
      </c>
    </row>
    <row r="145" ht="18" customHeight="1" s="56">
      <c r="B145" s="102" t="inlineStr">
        <is>
          <t xml:space="preserve">  S. Tailings Dam</t>
        </is>
      </c>
    </row>
    <row r="146" ht="15" customHeight="1" s="56">
      <c r="B146" s="95" t="inlineStr">
        <is>
          <t>T-20-005</t>
        </is>
      </c>
      <c r="C146" s="103" t="inlineStr">
        <is>
          <t>Dam raise - centerline per lift</t>
        </is>
      </c>
      <c r="D146" s="95" t="inlineStr">
        <is>
          <t>m3</t>
        </is>
      </c>
      <c r="E146" s="104" t="n">
        <v>0</v>
      </c>
      <c r="F146" s="105">
        <f>'01 Rate Schedule'!Y142</f>
        <v/>
      </c>
      <c r="G146" s="106">
        <f>IF(ISNUMBER(F146),E146*F146,0)</f>
        <v/>
      </c>
      <c r="H146" s="107" t="n">
        <v>0</v>
      </c>
      <c r="I146" s="106">
        <f>E146*H146</f>
        <v/>
      </c>
      <c r="J146" s="108">
        <f>IF(AND(ISNUMBER(F146),F146&gt;0,ISNUMBER(H146),H146&gt;0),(H146-F146)/F146,"")</f>
        <v/>
      </c>
    </row>
    <row r="147" ht="15" customHeight="1" s="56">
      <c r="B147" s="95" t="inlineStr">
        <is>
          <t>T-20-006</t>
        </is>
      </c>
      <c r="C147" s="103" t="inlineStr">
        <is>
          <t>Dam raise - downstream per lift</t>
        </is>
      </c>
      <c r="D147" s="95" t="inlineStr">
        <is>
          <t>m3</t>
        </is>
      </c>
      <c r="E147" s="104" t="n">
        <v>0</v>
      </c>
      <c r="F147" s="105">
        <f>'01 Rate Schedule'!Y143</f>
        <v/>
      </c>
      <c r="G147" s="106">
        <f>IF(ISNUMBER(F147),E147*F147,0)</f>
        <v/>
      </c>
      <c r="H147" s="107" t="n">
        <v>0</v>
      </c>
      <c r="I147" s="106">
        <f>E147*H147</f>
        <v/>
      </c>
      <c r="J147" s="108">
        <f>IF(AND(ISNUMBER(F147),F147&gt;0,ISNUMBER(H147),H147&gt;0),(H147-F147)/F147,"")</f>
        <v/>
      </c>
    </row>
    <row r="148" ht="15" customHeight="1" s="56">
      <c r="B148" s="95" t="inlineStr">
        <is>
          <t>T-20-010</t>
        </is>
      </c>
      <c r="C148" s="103" t="inlineStr">
        <is>
          <t>Inclinometer installation</t>
        </is>
      </c>
      <c r="D148" s="95" t="inlineStr">
        <is>
          <t>ea</t>
        </is>
      </c>
      <c r="E148" s="104" t="n">
        <v>0</v>
      </c>
      <c r="F148" s="105">
        <f>'01 Rate Schedule'!Y144</f>
        <v/>
      </c>
      <c r="G148" s="106">
        <f>IF(ISNUMBER(F148),E148*F148,0)</f>
        <v/>
      </c>
      <c r="H148" s="107" t="n">
        <v>0</v>
      </c>
      <c r="I148" s="106">
        <f>E148*H148</f>
        <v/>
      </c>
      <c r="J148" s="108">
        <f>IF(AND(ISNUMBER(F148),F148&gt;0,ISNUMBER(H148),H148&gt;0),(H148-F148)/F148,"")</f>
        <v/>
      </c>
    </row>
    <row r="149" ht="15" customHeight="1" s="56">
      <c r="B149" s="95" t="inlineStr">
        <is>
          <t>T-20-007</t>
        </is>
      </c>
      <c r="C149" s="103" t="inlineStr">
        <is>
          <t>Internal drainage - chimney drain</t>
        </is>
      </c>
      <c r="D149" s="95" t="inlineStr">
        <is>
          <t>m3</t>
        </is>
      </c>
      <c r="E149" s="104" t="n">
        <v>0</v>
      </c>
      <c r="F149" s="105">
        <f>'01 Rate Schedule'!Y145</f>
        <v/>
      </c>
      <c r="G149" s="106">
        <f>IF(ISNUMBER(F149),E149*F149,0)</f>
        <v/>
      </c>
      <c r="H149" s="107" t="n">
        <v>0</v>
      </c>
      <c r="I149" s="106">
        <f>E149*H149</f>
        <v/>
      </c>
      <c r="J149" s="108">
        <f>IF(AND(ISNUMBER(F149),F149&gt;0,ISNUMBER(H149),H149&gt;0),(H149-F149)/F149,"")</f>
        <v/>
      </c>
    </row>
    <row r="150" ht="15" customHeight="1" s="56">
      <c r="B150" s="95" t="inlineStr">
        <is>
          <t>T-20-012</t>
        </is>
      </c>
      <c r="C150" s="103" t="inlineStr">
        <is>
          <t>Spillway - concrete-lined emergency overflow</t>
        </is>
      </c>
      <c r="D150" s="95" t="inlineStr">
        <is>
          <t>m2</t>
        </is>
      </c>
      <c r="E150" s="104" t="n">
        <v>0</v>
      </c>
      <c r="F150" s="105">
        <f>'01 Rate Schedule'!Y146</f>
        <v/>
      </c>
      <c r="G150" s="106">
        <f>IF(ISNUMBER(F150),E150*F150,0)</f>
        <v/>
      </c>
      <c r="H150" s="107" t="n">
        <v>0</v>
      </c>
      <c r="I150" s="106">
        <f>E150*H150</f>
        <v/>
      </c>
      <c r="J150" s="108">
        <f>IF(AND(ISNUMBER(F150),F150&gt;0,ISNUMBER(H150),H150&gt;0),(H150-F150)/F150,"")</f>
        <v/>
      </c>
    </row>
    <row r="151" ht="15" customHeight="1" s="56">
      <c r="B151" s="95" t="inlineStr">
        <is>
          <t>T-20-001</t>
        </is>
      </c>
      <c r="C151" s="103" t="inlineStr">
        <is>
          <t>Starter dam - Zone A core (low-perm clay)</t>
        </is>
      </c>
      <c r="D151" s="95" t="inlineStr">
        <is>
          <t>m3</t>
        </is>
      </c>
      <c r="E151" s="104" t="n">
        <v>0</v>
      </c>
      <c r="F151" s="105">
        <f>'01 Rate Schedule'!Y147</f>
        <v/>
      </c>
      <c r="G151" s="106">
        <f>IF(ISNUMBER(F151),E151*F151,0)</f>
        <v/>
      </c>
      <c r="H151" s="107" t="n">
        <v>0</v>
      </c>
      <c r="I151" s="106">
        <f>E151*H151</f>
        <v/>
      </c>
      <c r="J151" s="108">
        <f>IF(AND(ISNUMBER(F151),F151&gt;0,ISNUMBER(H151),H151&gt;0),(H151-F151)/F151,"")</f>
        <v/>
      </c>
    </row>
    <row r="152" ht="15" customHeight="1" s="56">
      <c r="B152" s="95" t="inlineStr">
        <is>
          <t>T-20-002</t>
        </is>
      </c>
      <c r="C152" s="103" t="inlineStr">
        <is>
          <t>Starter dam - Zone B filter fine</t>
        </is>
      </c>
      <c r="D152" s="95" t="inlineStr">
        <is>
          <t>m3</t>
        </is>
      </c>
      <c r="E152" s="104" t="n">
        <v>0</v>
      </c>
      <c r="F152" s="105">
        <f>'01 Rate Schedule'!Y148</f>
        <v/>
      </c>
      <c r="G152" s="106">
        <f>IF(ISNUMBER(F152),E152*F152,0)</f>
        <v/>
      </c>
      <c r="H152" s="107" t="n">
        <v>0</v>
      </c>
      <c r="I152" s="106">
        <f>E152*H152</f>
        <v/>
      </c>
      <c r="J152" s="108">
        <f>IF(AND(ISNUMBER(F152),F152&gt;0,ISNUMBER(H152),H152&gt;0),(H152-F152)/F152,"")</f>
        <v/>
      </c>
    </row>
    <row r="153" ht="15" customHeight="1" s="56">
      <c r="B153" s="95" t="inlineStr">
        <is>
          <t>T-20-003</t>
        </is>
      </c>
      <c r="C153" s="103" t="inlineStr">
        <is>
          <t>Starter dam - Zone C filter coarse</t>
        </is>
      </c>
      <c r="D153" s="95" t="inlineStr">
        <is>
          <t>m3</t>
        </is>
      </c>
      <c r="E153" s="104" t="n">
        <v>0</v>
      </c>
      <c r="F153" s="105">
        <f>'01 Rate Schedule'!Y149</f>
        <v/>
      </c>
      <c r="G153" s="106">
        <f>IF(ISNUMBER(F153),E153*F153,0)</f>
        <v/>
      </c>
      <c r="H153" s="107" t="n">
        <v>0</v>
      </c>
      <c r="I153" s="106">
        <f>E153*H153</f>
        <v/>
      </c>
      <c r="J153" s="108">
        <f>IF(AND(ISNUMBER(F153),F153&gt;0,ISNUMBER(H153),H153&gt;0),(H153-F153)/F153,"")</f>
        <v/>
      </c>
    </row>
    <row r="154" ht="15" customHeight="1" s="56">
      <c r="B154" s="95" t="inlineStr">
        <is>
          <t>T-20-004</t>
        </is>
      </c>
      <c r="C154" s="103" t="inlineStr">
        <is>
          <t>Starter dam - Zone D random rockfill</t>
        </is>
      </c>
      <c r="D154" s="95" t="inlineStr">
        <is>
          <t>m3</t>
        </is>
      </c>
      <c r="E154" s="104" t="n">
        <v>0</v>
      </c>
      <c r="F154" s="105">
        <f>'01 Rate Schedule'!Y150</f>
        <v/>
      </c>
      <c r="G154" s="106">
        <f>IF(ISNUMBER(F154),E154*F154,0)</f>
        <v/>
      </c>
      <c r="H154" s="107" t="n">
        <v>0</v>
      </c>
      <c r="I154" s="106">
        <f>E154*H154</f>
        <v/>
      </c>
      <c r="J154" s="108">
        <f>IF(AND(ISNUMBER(F154),F154&gt;0,ISNUMBER(H154),H154&gt;0),(H154-F154)/F154,"")</f>
        <v/>
      </c>
    </row>
    <row r="155" ht="15" customHeight="1" s="56">
      <c r="B155" s="95" t="inlineStr">
        <is>
          <t>T-20-008</t>
        </is>
      </c>
      <c r="C155" s="103" t="inlineStr">
        <is>
          <t>Toe drain - supply+install w/ geotextile sock</t>
        </is>
      </c>
      <c r="D155" s="95" t="inlineStr">
        <is>
          <t>m</t>
        </is>
      </c>
      <c r="E155" s="104" t="n">
        <v>0</v>
      </c>
      <c r="F155" s="105">
        <f>'01 Rate Schedule'!Y151</f>
        <v/>
      </c>
      <c r="G155" s="106">
        <f>IF(ISNUMBER(F155),E155*F155,0)</f>
        <v/>
      </c>
      <c r="H155" s="107" t="n">
        <v>0</v>
      </c>
      <c r="I155" s="106">
        <f>E155*H155</f>
        <v/>
      </c>
      <c r="J155" s="108">
        <f>IF(AND(ISNUMBER(F155),F155&gt;0,ISNUMBER(H155),H155&gt;0),(H155-F155)/F155,"")</f>
        <v/>
      </c>
    </row>
    <row r="156" ht="15" customHeight="1" s="56">
      <c r="B156" s="95" t="inlineStr">
        <is>
          <t>T-20-009</t>
        </is>
      </c>
      <c r="C156" s="103" t="inlineStr">
        <is>
          <t>VW piezometer installation</t>
        </is>
      </c>
      <c r="D156" s="95" t="inlineStr">
        <is>
          <t>ea</t>
        </is>
      </c>
      <c r="E156" s="104" t="n">
        <v>0</v>
      </c>
      <c r="F156" s="105">
        <f>'01 Rate Schedule'!Y152</f>
        <v/>
      </c>
      <c r="G156" s="106">
        <f>IF(ISNUMBER(F156),E156*F156,0)</f>
        <v/>
      </c>
      <c r="H156" s="107" t="n">
        <v>0</v>
      </c>
      <c r="I156" s="106">
        <f>E156*H156</f>
        <v/>
      </c>
      <c r="J156" s="108">
        <f>IF(AND(ISNUMBER(F156),F156&gt;0,ISNUMBER(H156),H156&gt;0),(H156-F156)/F156,"")</f>
        <v/>
      </c>
    </row>
    <row r="157" ht="18" customHeight="1" s="56">
      <c r="B157" s="102" t="inlineStr">
        <is>
          <t xml:space="preserve">  T. Heap Leach</t>
        </is>
      </c>
    </row>
    <row r="158" ht="15" customHeight="1" s="56">
      <c r="B158" s="95" t="inlineStr">
        <is>
          <t>H-30-006</t>
        </is>
      </c>
      <c r="C158" s="103" t="inlineStr">
        <is>
          <t>Drain rock cover 300mm - supply+place</t>
        </is>
      </c>
      <c r="D158" s="95" t="inlineStr">
        <is>
          <t>m3</t>
        </is>
      </c>
      <c r="E158" s="104" t="n">
        <v>0</v>
      </c>
      <c r="F158" s="105">
        <f>'01 Rate Schedule'!Y154</f>
        <v/>
      </c>
      <c r="G158" s="106">
        <f>IF(ISNUMBER(F158),E158*F158,0)</f>
        <v/>
      </c>
      <c r="H158" s="107" t="n">
        <v>0</v>
      </c>
      <c r="I158" s="106">
        <f>E158*H158</f>
        <v/>
      </c>
      <c r="J158" s="108">
        <f>IF(AND(ISNUMBER(F158),F158&gt;0,ISNUMBER(H158),H158&gt;0),(H158-F158)/F158,"")</f>
        <v/>
      </c>
    </row>
    <row r="159" ht="15" customHeight="1" s="56">
      <c r="B159" s="95" t="inlineStr">
        <is>
          <t>H-30-010</t>
        </is>
      </c>
      <c r="C159" s="103" t="inlineStr">
        <is>
          <t>Drip irrigation network - S+I per ha</t>
        </is>
      </c>
      <c r="D159" s="95" t="inlineStr">
        <is>
          <t>ha</t>
        </is>
      </c>
      <c r="E159" s="104" t="n">
        <v>0</v>
      </c>
      <c r="F159" s="105">
        <f>'01 Rate Schedule'!Y155</f>
        <v/>
      </c>
      <c r="G159" s="106">
        <f>IF(ISNUMBER(F159),E159*F159,0)</f>
        <v/>
      </c>
      <c r="H159" s="107" t="n">
        <v>0</v>
      </c>
      <c r="I159" s="106">
        <f>E159*H159</f>
        <v/>
      </c>
      <c r="J159" s="108">
        <f>IF(AND(ISNUMBER(F159),F159&gt;0,ISNUMBER(H159),H159&gt;0),(H159-F159)/F159,"")</f>
        <v/>
      </c>
    </row>
    <row r="160" ht="15" customHeight="1" s="56">
      <c r="B160" s="95" t="inlineStr">
        <is>
          <t>H-30-005</t>
        </is>
      </c>
      <c r="C160" s="103" t="inlineStr">
        <is>
          <t>Geonet drainage layer between liners - S+I</t>
        </is>
      </c>
      <c r="D160" s="95" t="inlineStr">
        <is>
          <t>m2</t>
        </is>
      </c>
      <c r="E160" s="104" t="n">
        <v>0</v>
      </c>
      <c r="F160" s="105">
        <f>'01 Rate Schedule'!Y156</f>
        <v/>
      </c>
      <c r="G160" s="106">
        <f>IF(ISNUMBER(F160),E160*F160,0)</f>
        <v/>
      </c>
      <c r="H160" s="107" t="n">
        <v>0</v>
      </c>
      <c r="I160" s="106">
        <f>E160*H160</f>
        <v/>
      </c>
      <c r="J160" s="108">
        <f>IF(AND(ISNUMBER(F160),F160&gt;0,ISNUMBER(H160),H160&gt;0),(H160-F160)/F160,"")</f>
        <v/>
      </c>
    </row>
    <row r="161" ht="15" customHeight="1" s="56">
      <c r="B161" s="95" t="inlineStr">
        <is>
          <t>H-30-007</t>
        </is>
      </c>
      <c r="C161" s="103" t="inlineStr">
        <is>
          <t>HDPE perforated collection manifold 150-200mm - S+I</t>
        </is>
      </c>
      <c r="D161" s="95" t="inlineStr">
        <is>
          <t>m</t>
        </is>
      </c>
      <c r="E161" s="104" t="n">
        <v>0</v>
      </c>
      <c r="F161" s="105">
        <f>'01 Rate Schedule'!Y157</f>
        <v/>
      </c>
      <c r="G161" s="106">
        <f>IF(ISNUMBER(F161),E161*F161,0)</f>
        <v/>
      </c>
      <c r="H161" s="107" t="n">
        <v>0</v>
      </c>
      <c r="I161" s="106">
        <f>E161*H161</f>
        <v/>
      </c>
      <c r="J161" s="108">
        <f>IF(AND(ISNUMBER(F161),F161&gt;0,ISNUMBER(H161),H161&gt;0),(H161-F161)/F161,"")</f>
        <v/>
      </c>
    </row>
    <row r="162" ht="15" customHeight="1" s="56">
      <c r="B162" s="95" t="inlineStr">
        <is>
          <t>H-30-002</t>
        </is>
      </c>
      <c r="C162" s="103" t="inlineStr">
        <is>
          <t>Low-perm clay liner 300mm</t>
        </is>
      </c>
      <c r="D162" s="95" t="inlineStr">
        <is>
          <t>m2</t>
        </is>
      </c>
      <c r="E162" s="104" t="n">
        <v>0</v>
      </c>
      <c r="F162" s="105">
        <f>'01 Rate Schedule'!Y158</f>
        <v/>
      </c>
      <c r="G162" s="106">
        <f>IF(ISNUMBER(F162),E162*F162,0)</f>
        <v/>
      </c>
      <c r="H162" s="107" t="n">
        <v>0</v>
      </c>
      <c r="I162" s="106">
        <f>E162*H162</f>
        <v/>
      </c>
      <c r="J162" s="108">
        <f>IF(AND(ISNUMBER(F162),F162&gt;0,ISNUMBER(H162),H162&gt;0),(H162-F162)/F162,"")</f>
        <v/>
      </c>
    </row>
    <row r="163" ht="15" customHeight="1" s="56">
      <c r="B163" s="95" t="inlineStr">
        <is>
          <t>H-30-008</t>
        </is>
      </c>
      <c r="C163" s="103" t="inlineStr">
        <is>
          <t>PLS pond - multi-liner</t>
        </is>
      </c>
      <c r="D163" s="95" t="inlineStr">
        <is>
          <t>m2</t>
        </is>
      </c>
      <c r="E163" s="104" t="n">
        <v>0</v>
      </c>
      <c r="F163" s="105">
        <f>'01 Rate Schedule'!Y159</f>
        <v/>
      </c>
      <c r="G163" s="106">
        <f>IF(ISNUMBER(F163),E163*F163,0)</f>
        <v/>
      </c>
      <c r="H163" s="107" t="n">
        <v>0</v>
      </c>
      <c r="I163" s="106">
        <f>E163*H163</f>
        <v/>
      </c>
      <c r="J163" s="108">
        <f>IF(AND(ISNUMBER(F163),F163&gt;0,ISNUMBER(H163),H163&gt;0),(H163-F163)/F163,"")</f>
        <v/>
      </c>
    </row>
    <row r="164" ht="15" customHeight="1" s="56">
      <c r="B164" s="95" t="inlineStr">
        <is>
          <t>H-30-001</t>
        </is>
      </c>
      <c r="C164" s="103" t="inlineStr">
        <is>
          <t>Pad sub-grade prep - cut/fill/compact 95% Proctor</t>
        </is>
      </c>
      <c r="D164" s="95" t="inlineStr">
        <is>
          <t>m2</t>
        </is>
      </c>
      <c r="E164" s="104" t="n">
        <v>0</v>
      </c>
      <c r="F164" s="105">
        <f>'01 Rate Schedule'!Y160</f>
        <v/>
      </c>
      <c r="G164" s="106">
        <f>IF(ISNUMBER(F164),E164*F164,0)</f>
        <v/>
      </c>
      <c r="H164" s="107" t="n">
        <v>0</v>
      </c>
      <c r="I164" s="106">
        <f>E164*H164</f>
        <v/>
      </c>
      <c r="J164" s="108">
        <f>IF(AND(ISNUMBER(F164),F164&gt;0,ISNUMBER(H164),H164&gt;0),(H164-F164)/F164,"")</f>
        <v/>
      </c>
    </row>
    <row r="165" ht="15" customHeight="1" s="56">
      <c r="B165" s="95" t="inlineStr">
        <is>
          <t>H-30-003</t>
        </is>
      </c>
      <c r="C165" s="103" t="inlineStr">
        <is>
          <t>Primary HDPE liner 80 mil - S+I+CQA</t>
        </is>
      </c>
      <c r="D165" s="95" t="inlineStr">
        <is>
          <t>m2</t>
        </is>
      </c>
      <c r="E165" s="104" t="n">
        <v>0</v>
      </c>
      <c r="F165" s="105">
        <f>'01 Rate Schedule'!Y161</f>
        <v/>
      </c>
      <c r="G165" s="106">
        <f>IF(ISNUMBER(F165),E165*F165,0)</f>
        <v/>
      </c>
      <c r="H165" s="107" t="n">
        <v>0</v>
      </c>
      <c r="I165" s="106">
        <f>E165*H165</f>
        <v/>
      </c>
      <c r="J165" s="108">
        <f>IF(AND(ISNUMBER(F165),F165&gt;0,ISNUMBER(H165),H165&gt;0),(H165-F165)/F165,"")</f>
        <v/>
      </c>
    </row>
    <row r="166" ht="15" customHeight="1" s="56">
      <c r="B166" s="95" t="inlineStr">
        <is>
          <t>H-30-004</t>
        </is>
      </c>
      <c r="C166" s="103" t="inlineStr">
        <is>
          <t>Secondary HDPE liner 60 mil - S+I+CQA</t>
        </is>
      </c>
      <c r="D166" s="95" t="inlineStr">
        <is>
          <t>m2</t>
        </is>
      </c>
      <c r="E166" s="104" t="n">
        <v>0</v>
      </c>
      <c r="F166" s="105">
        <f>'01 Rate Schedule'!Y162</f>
        <v/>
      </c>
      <c r="G166" s="106">
        <f>IF(ISNUMBER(F166),E166*F166,0)</f>
        <v/>
      </c>
      <c r="H166" s="107" t="n">
        <v>0</v>
      </c>
      <c r="I166" s="106">
        <f>E166*H166</f>
        <v/>
      </c>
      <c r="J166" s="108">
        <f>IF(AND(ISNUMBER(F166),F166&gt;0,ISNUMBER(H166),H166&gt;0),(H166-F166)/F166,"")</f>
        <v/>
      </c>
    </row>
    <row r="167" ht="15" customHeight="1" s="56">
      <c r="B167" s="95" t="inlineStr">
        <is>
          <t>H-30-009</t>
        </is>
      </c>
      <c r="C167" s="103" t="inlineStr">
        <is>
          <t>Solution piping HDPE 200mm - S+I</t>
        </is>
      </c>
      <c r="D167" s="95" t="inlineStr">
        <is>
          <t>m</t>
        </is>
      </c>
      <c r="E167" s="104" t="n">
        <v>0</v>
      </c>
      <c r="F167" s="105">
        <f>'01 Rate Schedule'!Y163</f>
        <v/>
      </c>
      <c r="G167" s="106">
        <f>IF(ISNUMBER(F167),E167*F167,0)</f>
        <v/>
      </c>
      <c r="H167" s="107" t="n">
        <v>0</v>
      </c>
      <c r="I167" s="106">
        <f>E167*H167</f>
        <v/>
      </c>
      <c r="J167" s="108">
        <f>IF(AND(ISNUMBER(F167),F167&gt;0,ISNUMBER(H167),H167&gt;0),(H167-F167)/F167,"")</f>
        <v/>
      </c>
    </row>
    <row r="168" ht="18" customHeight="1" s="56">
      <c r="B168" s="102" t="inlineStr">
        <is>
          <t xml:space="preserve">  U. Process Plant</t>
        </is>
      </c>
    </row>
    <row r="169" ht="15" customHeight="1" s="56">
      <c r="B169" s="95" t="inlineStr">
        <is>
          <t>P-40-005</t>
        </is>
      </c>
      <c r="C169" s="103" t="inlineStr">
        <is>
          <t>Conveyor gallery footings</t>
        </is>
      </c>
      <c r="D169" s="95" t="inlineStr">
        <is>
          <t>ea</t>
        </is>
      </c>
      <c r="E169" s="104" t="n">
        <v>0</v>
      </c>
      <c r="F169" s="105">
        <f>'01 Rate Schedule'!Y165</f>
        <v/>
      </c>
      <c r="G169" s="106">
        <f>IF(ISNUMBER(F169),E169*F169,0)</f>
        <v/>
      </c>
      <c r="H169" s="107" t="n">
        <v>0</v>
      </c>
      <c r="I169" s="106">
        <f>E169*H169</f>
        <v/>
      </c>
      <c r="J169" s="108">
        <f>IF(AND(ISNUMBER(F169),F169&gt;0,ISNUMBER(H169),H169&gt;0),(H169-F169)/F169,"")</f>
        <v/>
      </c>
    </row>
    <row r="170" ht="15" customHeight="1" s="56">
      <c r="B170" s="95" t="inlineStr">
        <is>
          <t>P-40-006</t>
        </is>
      </c>
      <c r="C170" s="103" t="inlineStr">
        <is>
          <t>Conveyor head pulley structure</t>
        </is>
      </c>
      <c r="D170" s="95" t="inlineStr">
        <is>
          <t>ea</t>
        </is>
      </c>
      <c r="E170" s="104" t="n">
        <v>0</v>
      </c>
      <c r="F170" s="105">
        <f>'01 Rate Schedule'!Y166</f>
        <v/>
      </c>
      <c r="G170" s="106">
        <f>IF(ISNUMBER(F170),E170*F170,0)</f>
        <v/>
      </c>
      <c r="H170" s="107" t="n">
        <v>0</v>
      </c>
      <c r="I170" s="106">
        <f>E170*H170</f>
        <v/>
      </c>
      <c r="J170" s="108">
        <f>IF(AND(ISNUMBER(F170),F170&gt;0,ISNUMBER(H170),H170&gt;0),(H170-F170)/F170,"")</f>
        <v/>
      </c>
    </row>
    <row r="171" ht="15" customHeight="1" s="56">
      <c r="B171" s="95" t="inlineStr">
        <is>
          <t>P-40-009</t>
        </is>
      </c>
      <c r="C171" s="103" t="inlineStr">
        <is>
          <t>Flotation cell foundation</t>
        </is>
      </c>
      <c r="D171" s="95" t="inlineStr">
        <is>
          <t>m2</t>
        </is>
      </c>
      <c r="E171" s="104" t="n">
        <v>0</v>
      </c>
      <c r="F171" s="105">
        <f>'01 Rate Schedule'!Y167</f>
        <v/>
      </c>
      <c r="G171" s="106">
        <f>IF(ISNUMBER(F171),E171*F171,0)</f>
        <v/>
      </c>
      <c r="H171" s="107" t="n">
        <v>0</v>
      </c>
      <c r="I171" s="106">
        <f>E171*H171</f>
        <v/>
      </c>
      <c r="J171" s="108">
        <f>IF(AND(ISNUMBER(F171),F171&gt;0,ISNUMBER(H171),H171&gt;0),(H171-F171)/F171,"")</f>
        <v/>
      </c>
    </row>
    <row r="172" ht="15" customHeight="1" s="56">
      <c r="B172" s="95" t="inlineStr">
        <is>
          <t>P-40-002</t>
        </is>
      </c>
      <c r="C172" s="103" t="inlineStr">
        <is>
          <t>Mill foundation - ball mill</t>
        </is>
      </c>
      <c r="D172" s="95" t="inlineStr">
        <is>
          <t>m3</t>
        </is>
      </c>
      <c r="E172" s="104" t="n">
        <v>0</v>
      </c>
      <c r="F172" s="105">
        <f>'01 Rate Schedule'!Y168</f>
        <v/>
      </c>
      <c r="G172" s="106">
        <f>IF(ISNUMBER(F172),E172*F172,0)</f>
        <v/>
      </c>
      <c r="H172" s="107" t="n">
        <v>0</v>
      </c>
      <c r="I172" s="106">
        <f>E172*H172</f>
        <v/>
      </c>
      <c r="J172" s="108">
        <f>IF(AND(ISNUMBER(F172),F172&gt;0,ISNUMBER(H172),H172&gt;0),(H172-F172)/F172,"")</f>
        <v/>
      </c>
    </row>
    <row r="173" ht="15" customHeight="1" s="56">
      <c r="B173" s="95" t="inlineStr">
        <is>
          <t>P-40-001</t>
        </is>
      </c>
      <c r="C173" s="103" t="inlineStr">
        <is>
          <t>Mill foundation - large mat (SAG)</t>
        </is>
      </c>
      <c r="D173" s="95" t="inlineStr">
        <is>
          <t>m3</t>
        </is>
      </c>
      <c r="E173" s="104" t="n">
        <v>0</v>
      </c>
      <c r="F173" s="105">
        <f>'01 Rate Schedule'!Y169</f>
        <v/>
      </c>
      <c r="G173" s="106">
        <f>IF(ISNUMBER(F173),E173*F173,0)</f>
        <v/>
      </c>
      <c r="H173" s="107" t="n">
        <v>0</v>
      </c>
      <c r="I173" s="106">
        <f>E173*H173</f>
        <v/>
      </c>
      <c r="J173" s="108">
        <f>IF(AND(ISNUMBER(F173),F173&gt;0,ISNUMBER(H173),H173&gt;0),(H173-F173)/F173,"")</f>
        <v/>
      </c>
    </row>
    <row r="174" ht="15" customHeight="1" s="56">
      <c r="B174" s="95" t="inlineStr">
        <is>
          <t>P-40-007</t>
        </is>
      </c>
      <c r="C174" s="103" t="inlineStr">
        <is>
          <t>Ore stockpile reclaim tunnel</t>
        </is>
      </c>
      <c r="D174" s="95" t="inlineStr">
        <is>
          <t>m</t>
        </is>
      </c>
      <c r="E174" s="104" t="n">
        <v>0</v>
      </c>
      <c r="F174" s="105">
        <f>'01 Rate Schedule'!Y170</f>
        <v/>
      </c>
      <c r="G174" s="106">
        <f>IF(ISNUMBER(F174),E174*F174,0)</f>
        <v/>
      </c>
      <c r="H174" s="107" t="n">
        <v>0</v>
      </c>
      <c r="I174" s="106">
        <f>E174*H174</f>
        <v/>
      </c>
      <c r="J174" s="108">
        <f>IF(AND(ISNUMBER(F174),F174&gt;0,ISNUMBER(H174),H174&gt;0),(H174-F174)/F174,"")</f>
        <v/>
      </c>
    </row>
    <row r="175" ht="15" customHeight="1" s="56">
      <c r="B175" s="95" t="inlineStr">
        <is>
          <t>P-40-003</t>
        </is>
      </c>
      <c r="C175" s="103" t="inlineStr">
        <is>
          <t>Primary crusher foundation - pier+mat</t>
        </is>
      </c>
      <c r="D175" s="95" t="inlineStr">
        <is>
          <t>m3</t>
        </is>
      </c>
      <c r="E175" s="104" t="n">
        <v>0</v>
      </c>
      <c r="F175" s="105">
        <f>'01 Rate Schedule'!Y171</f>
        <v/>
      </c>
      <c r="G175" s="106">
        <f>IF(ISNUMBER(F175),E175*F175,0)</f>
        <v/>
      </c>
      <c r="H175" s="107" t="n">
        <v>0</v>
      </c>
      <c r="I175" s="106">
        <f>E175*H175</f>
        <v/>
      </c>
      <c r="J175" s="108">
        <f>IF(AND(ISNUMBER(F175),F175&gt;0,ISNUMBER(H175),H175&gt;0),(H175-F175)/F175,"")</f>
        <v/>
      </c>
    </row>
    <row r="176" ht="15" customHeight="1" s="56">
      <c r="B176" s="95" t="inlineStr">
        <is>
          <t>P-40-011</t>
        </is>
      </c>
      <c r="C176" s="103" t="inlineStr">
        <is>
          <t>Process building slab on grade 250mm</t>
        </is>
      </c>
      <c r="D176" s="95" t="inlineStr">
        <is>
          <t>m2</t>
        </is>
      </c>
      <c r="E176" s="104" t="n">
        <v>0</v>
      </c>
      <c r="F176" s="105">
        <f>'01 Rate Schedule'!Y172</f>
        <v/>
      </c>
      <c r="G176" s="106">
        <f>IF(ISNUMBER(F176),E176*F176,0)</f>
        <v/>
      </c>
      <c r="H176" s="107" t="n">
        <v>0</v>
      </c>
      <c r="I176" s="106">
        <f>E176*H176</f>
        <v/>
      </c>
      <c r="J176" s="108">
        <f>IF(AND(ISNUMBER(F176),F176&gt;0,ISNUMBER(H176),H176&gt;0),(H176-F176)/F176,"")</f>
        <v/>
      </c>
    </row>
    <row r="177" ht="15" customHeight="1" s="56">
      <c r="B177" s="95" t="inlineStr">
        <is>
          <t>P-40-004</t>
        </is>
      </c>
      <c r="C177" s="103" t="inlineStr">
        <is>
          <t>SAG mill apron feeder pit</t>
        </is>
      </c>
      <c r="D177" s="95" t="inlineStr">
        <is>
          <t>m3</t>
        </is>
      </c>
      <c r="E177" s="104" t="n">
        <v>0</v>
      </c>
      <c r="F177" s="105">
        <f>'01 Rate Schedule'!Y173</f>
        <v/>
      </c>
      <c r="G177" s="106">
        <f>IF(ISNUMBER(F177),E177*F177,0)</f>
        <v/>
      </c>
      <c r="H177" s="107" t="n">
        <v>0</v>
      </c>
      <c r="I177" s="106">
        <f>E177*H177</f>
        <v/>
      </c>
      <c r="J177" s="108">
        <f>IF(AND(ISNUMBER(F177),F177&gt;0,ISNUMBER(H177),H177&gt;0),(H177-F177)/F177,"")</f>
        <v/>
      </c>
    </row>
    <row r="178" ht="15" customHeight="1" s="56">
      <c r="B178" s="95" t="inlineStr">
        <is>
          <t>P-40-010</t>
        </is>
      </c>
      <c r="C178" s="103" t="inlineStr">
        <is>
          <t>Tank farm secondary bund</t>
        </is>
      </c>
      <c r="D178" s="95" t="inlineStr">
        <is>
          <t>m2</t>
        </is>
      </c>
      <c r="E178" s="104" t="n">
        <v>0</v>
      </c>
      <c r="F178" s="105">
        <f>'01 Rate Schedule'!Y174</f>
        <v/>
      </c>
      <c r="G178" s="106">
        <f>IF(ISNUMBER(F178),E178*F178,0)</f>
        <v/>
      </c>
      <c r="H178" s="107" t="n">
        <v>0</v>
      </c>
      <c r="I178" s="106">
        <f>E178*H178</f>
        <v/>
      </c>
      <c r="J178" s="108">
        <f>IF(AND(ISNUMBER(F178),F178&gt;0,ISNUMBER(H178),H178&gt;0),(H178-F178)/F178,"")</f>
        <v/>
      </c>
    </row>
    <row r="179" ht="15" customHeight="1" s="56">
      <c r="B179" s="95" t="inlineStr">
        <is>
          <t>P-40-008</t>
        </is>
      </c>
      <c r="C179" s="103" t="inlineStr">
        <is>
          <t>Thickener foundation - ring beam + center column</t>
        </is>
      </c>
      <c r="D179" s="95" t="inlineStr">
        <is>
          <t>ea</t>
        </is>
      </c>
      <c r="E179" s="104" t="n">
        <v>0</v>
      </c>
      <c r="F179" s="105">
        <f>'01 Rate Schedule'!Y175</f>
        <v/>
      </c>
      <c r="G179" s="106">
        <f>IF(ISNUMBER(F179),E179*F179,0)</f>
        <v/>
      </c>
      <c r="H179" s="107" t="n">
        <v>0</v>
      </c>
      <c r="I179" s="106">
        <f>E179*H179</f>
        <v/>
      </c>
      <c r="J179" s="108">
        <f>IF(AND(ISNUMBER(F179),F179&gt;0,ISNUMBER(H179),H179&gt;0),(H179-F179)/F179,"")</f>
        <v/>
      </c>
    </row>
    <row r="180" ht="18" customHeight="1" s="56">
      <c r="B180" s="102" t="inlineStr">
        <is>
          <t xml:space="preserve">  V. Pipeline</t>
        </is>
      </c>
    </row>
    <row r="181" ht="15" customHeight="1" s="56">
      <c r="B181" s="95" t="inlineStr">
        <is>
          <t>SP-50-003</t>
        </is>
      </c>
      <c r="C181" s="103" t="inlineStr">
        <is>
          <t>HDPE slurry pipe 250mm SDR 11 - supply</t>
        </is>
      </c>
      <c r="D181" s="95" t="inlineStr">
        <is>
          <t>m</t>
        </is>
      </c>
      <c r="E181" s="104" t="n">
        <v>0</v>
      </c>
      <c r="F181" s="105">
        <f>'01 Rate Schedule'!Y177</f>
        <v/>
      </c>
      <c r="G181" s="106">
        <f>IF(ISNUMBER(F181),E181*F181,0)</f>
        <v/>
      </c>
      <c r="H181" s="107" t="n">
        <v>0</v>
      </c>
      <c r="I181" s="106">
        <f>E181*H181</f>
        <v/>
      </c>
      <c r="J181" s="108">
        <f>IF(AND(ISNUMBER(F181),F181&gt;0,ISNUMBER(H181),H181&gt;0),(H181-F181)/F181,"")</f>
        <v/>
      </c>
    </row>
    <row r="182" ht="15" customHeight="1" s="56">
      <c r="B182" s="95" t="inlineStr">
        <is>
          <t>SP-50-004</t>
        </is>
      </c>
      <c r="C182" s="103" t="inlineStr">
        <is>
          <t>HDPE slurry pipe 400mm SDR 11 - supply</t>
        </is>
      </c>
      <c r="D182" s="95" t="inlineStr">
        <is>
          <t>m</t>
        </is>
      </c>
      <c r="E182" s="104" t="n">
        <v>0</v>
      </c>
      <c r="F182" s="105">
        <f>'01 Rate Schedule'!Y178</f>
        <v/>
      </c>
      <c r="G182" s="106">
        <f>IF(ISNUMBER(F182),E182*F182,0)</f>
        <v/>
      </c>
      <c r="H182" s="107" t="n">
        <v>0</v>
      </c>
      <c r="I182" s="106">
        <f>E182*H182</f>
        <v/>
      </c>
      <c r="J182" s="108">
        <f>IF(AND(ISNUMBER(F182),F182&gt;0,ISNUMBER(H182),H182&gt;0),(H182-F182)/F182,"")</f>
        <v/>
      </c>
    </row>
    <row r="183" ht="15" customHeight="1" s="56">
      <c r="B183" s="95" t="inlineStr">
        <is>
          <t>SP-50-001</t>
        </is>
      </c>
      <c r="C183" s="103" t="inlineStr">
        <is>
          <t>Pipeline ROW clearing + grading per km</t>
        </is>
      </c>
      <c r="D183" s="95" t="inlineStr">
        <is>
          <t>km</t>
        </is>
      </c>
      <c r="E183" s="104" t="n">
        <v>0</v>
      </c>
      <c r="F183" s="105">
        <f>'01 Rate Schedule'!Y179</f>
        <v/>
      </c>
      <c r="G183" s="106">
        <f>IF(ISNUMBER(F183),E183*F183,0)</f>
        <v/>
      </c>
      <c r="H183" s="107" t="n">
        <v>0</v>
      </c>
      <c r="I183" s="106">
        <f>E183*H183</f>
        <v/>
      </c>
      <c r="J183" s="108">
        <f>IF(AND(ISNUMBER(F183),F183&gt;0,ISNUMBER(H183),H183&gt;0),(H183-F183)/F183,"")</f>
        <v/>
      </c>
    </row>
    <row r="184" ht="15" customHeight="1" s="56">
      <c r="B184" s="95" t="inlineStr">
        <is>
          <t>SP-50-006</t>
        </is>
      </c>
      <c r="C184" s="103" t="inlineStr">
        <is>
          <t>Pipeline install incl. fusion/weld+lay</t>
        </is>
      </c>
      <c r="D184" s="95" t="inlineStr">
        <is>
          <t>m</t>
        </is>
      </c>
      <c r="E184" s="104" t="n">
        <v>0</v>
      </c>
      <c r="F184" s="105">
        <f>'01 Rate Schedule'!Y180</f>
        <v/>
      </c>
      <c r="G184" s="106">
        <f>IF(ISNUMBER(F184),E184*F184,0)</f>
        <v/>
      </c>
      <c r="H184" s="107" t="n">
        <v>0</v>
      </c>
      <c r="I184" s="106">
        <f>E184*H184</f>
        <v/>
      </c>
      <c r="J184" s="108">
        <f>IF(AND(ISNUMBER(F184),F184&gt;0,ISNUMBER(H184),H184&gt;0),(H184-F184)/F184,"")</f>
        <v/>
      </c>
    </row>
    <row r="185" ht="15" customHeight="1" s="56">
      <c r="B185" s="95" t="inlineStr">
        <is>
          <t>SP-50-007</t>
        </is>
      </c>
      <c r="C185" s="103" t="inlineStr">
        <is>
          <t>Pipeline pigging launcher/receiver</t>
        </is>
      </c>
      <c r="D185" s="95" t="inlineStr">
        <is>
          <t>ea</t>
        </is>
      </c>
      <c r="E185" s="104" t="n">
        <v>0</v>
      </c>
      <c r="F185" s="105">
        <f>'01 Rate Schedule'!Y181</f>
        <v/>
      </c>
      <c r="G185" s="106">
        <f>IF(ISNUMBER(F185),E185*F185,0)</f>
        <v/>
      </c>
      <c r="H185" s="107" t="n">
        <v>0</v>
      </c>
      <c r="I185" s="106">
        <f>E185*H185</f>
        <v/>
      </c>
      <c r="J185" s="108">
        <f>IF(AND(ISNUMBER(F185),F185&gt;0,ISNUMBER(H185),H185&gt;0),(H185-F185)/F185,"")</f>
        <v/>
      </c>
    </row>
    <row r="186" ht="15" customHeight="1" s="56">
      <c r="B186" s="95" t="inlineStr">
        <is>
          <t>SP-50-002</t>
        </is>
      </c>
      <c r="C186" s="103" t="inlineStr">
        <is>
          <t>Pipeline trench 1.5m depth - excavation only</t>
        </is>
      </c>
      <c r="D186" s="95" t="inlineStr">
        <is>
          <t>m</t>
        </is>
      </c>
      <c r="E186" s="104" t="n">
        <v>0</v>
      </c>
      <c r="F186" s="105">
        <f>'01 Rate Schedule'!Y182</f>
        <v/>
      </c>
      <c r="G186" s="106">
        <f>IF(ISNUMBER(F186),E186*F186,0)</f>
        <v/>
      </c>
      <c r="H186" s="107" t="n">
        <v>0</v>
      </c>
      <c r="I186" s="106">
        <f>E186*H186</f>
        <v/>
      </c>
      <c r="J186" s="108">
        <f>IF(AND(ISNUMBER(F186),F186&gt;0,ISNUMBER(H186),H186&gt;0),(H186-F186)/F186,"")</f>
        <v/>
      </c>
    </row>
    <row r="187" ht="15" customHeight="1" s="56">
      <c r="B187" s="95" t="inlineStr">
        <is>
          <t>SP-50-008</t>
        </is>
      </c>
      <c r="C187" s="103" t="inlineStr">
        <is>
          <t>Pipeline valve station w/ concrete pad+fence</t>
        </is>
      </c>
      <c r="D187" s="95" t="inlineStr">
        <is>
          <t>ea</t>
        </is>
      </c>
      <c r="E187" s="104" t="n">
        <v>0</v>
      </c>
      <c r="F187" s="105">
        <f>'01 Rate Schedule'!Y183</f>
        <v/>
      </c>
      <c r="G187" s="106">
        <f>IF(ISNUMBER(F187),E187*F187,0)</f>
        <v/>
      </c>
      <c r="H187" s="107" t="n">
        <v>0</v>
      </c>
      <c r="I187" s="106">
        <f>E187*H187</f>
        <v/>
      </c>
      <c r="J187" s="108">
        <f>IF(AND(ISNUMBER(F187),F187&gt;0,ISNUMBER(H187),H187&gt;0),(H187-F187)/F187,"")</f>
        <v/>
      </c>
    </row>
    <row r="188" ht="15" customHeight="1" s="56">
      <c r="B188" s="95" t="inlineStr">
        <is>
          <t>SP-50-010</t>
        </is>
      </c>
      <c r="C188" s="103" t="inlineStr">
        <is>
          <t>River/road crossing - HDD per m</t>
        </is>
      </c>
      <c r="D188" s="95" t="inlineStr">
        <is>
          <t>m</t>
        </is>
      </c>
      <c r="E188" s="104" t="n">
        <v>0</v>
      </c>
      <c r="F188" s="105">
        <f>'01 Rate Schedule'!Y184</f>
        <v/>
      </c>
      <c r="G188" s="106">
        <f>IF(ISNUMBER(F188),E188*F188,0)</f>
        <v/>
      </c>
      <c r="H188" s="107" t="n">
        <v>0</v>
      </c>
      <c r="I188" s="106">
        <f>E188*H188</f>
        <v/>
      </c>
      <c r="J188" s="108">
        <f>IF(AND(ISNUMBER(F188),F188&gt;0,ISNUMBER(H188),H188&gt;0),(H188-F188)/F188,"")</f>
        <v/>
      </c>
    </row>
    <row r="189" ht="15" customHeight="1" s="56">
      <c r="B189" s="95" t="inlineStr">
        <is>
          <t>SP-50-005</t>
        </is>
      </c>
      <c r="C189" s="103" t="inlineStr">
        <is>
          <t>Steel slurry pipe 300mm Sch 80</t>
        </is>
      </c>
      <c r="D189" s="95" t="inlineStr">
        <is>
          <t>m</t>
        </is>
      </c>
      <c r="E189" s="104" t="n">
        <v>0</v>
      </c>
      <c r="F189" s="105">
        <f>'01 Rate Schedule'!Y185</f>
        <v/>
      </c>
      <c r="G189" s="106">
        <f>IF(ISNUMBER(F189),E189*F189,0)</f>
        <v/>
      </c>
      <c r="H189" s="107" t="n">
        <v>0</v>
      </c>
      <c r="I189" s="106">
        <f>E189*H189</f>
        <v/>
      </c>
      <c r="J189" s="108">
        <f>IF(AND(ISNUMBER(F189),F189&gt;0,ISNUMBER(H189),H189&gt;0),(H189-F189)/F189,"")</f>
        <v/>
      </c>
    </row>
    <row r="190" ht="18" customHeight="1" s="56">
      <c r="B190" s="102" t="inlineStr">
        <is>
          <t xml:space="preserve">  W. Bridges</t>
        </is>
      </c>
    </row>
    <row r="191" ht="15" customHeight="1" s="56">
      <c r="B191" s="95" t="inlineStr">
        <is>
          <t>BR-60-004</t>
        </is>
      </c>
      <c r="C191" s="103" t="inlineStr">
        <is>
          <t>Bridge abutment - concrete CIP</t>
        </is>
      </c>
      <c r="D191" s="95" t="inlineStr">
        <is>
          <t>m3</t>
        </is>
      </c>
      <c r="E191" s="104" t="n">
        <v>0</v>
      </c>
      <c r="F191" s="105">
        <f>'01 Rate Schedule'!Y187</f>
        <v/>
      </c>
      <c r="G191" s="106">
        <f>IF(ISNUMBER(F191),E191*F191,0)</f>
        <v/>
      </c>
      <c r="H191" s="107" t="n">
        <v>0</v>
      </c>
      <c r="I191" s="106">
        <f>E191*H191</f>
        <v/>
      </c>
      <c r="J191" s="108">
        <f>IF(AND(ISNUMBER(F191),F191&gt;0,ISNUMBER(H191),H191&gt;0),(H191-F191)/F191,"")</f>
        <v/>
      </c>
    </row>
    <row r="192" ht="15" customHeight="1" s="56">
      <c r="B192" s="95" t="inlineStr">
        <is>
          <t>BR-60-005</t>
        </is>
      </c>
      <c r="C192" s="103" t="inlineStr">
        <is>
          <t>Bridge pier - concrete CIP</t>
        </is>
      </c>
      <c r="D192" s="95" t="inlineStr">
        <is>
          <t>m3</t>
        </is>
      </c>
      <c r="E192" s="104" t="n">
        <v>0</v>
      </c>
      <c r="F192" s="105">
        <f>'01 Rate Schedule'!Y188</f>
        <v/>
      </c>
      <c r="G192" s="106">
        <f>IF(ISNUMBER(F192),E192*F192,0)</f>
        <v/>
      </c>
      <c r="H192" s="107" t="n">
        <v>0</v>
      </c>
      <c r="I192" s="106">
        <f>E192*H192</f>
        <v/>
      </c>
      <c r="J192" s="108">
        <f>IF(AND(ISNUMBER(F192),F192&gt;0,ISNUMBER(H192),H192&gt;0),(H192-F192)/F192,"")</f>
        <v/>
      </c>
    </row>
    <row r="193" ht="15" customHeight="1" s="56">
      <c r="B193" s="95" t="inlineStr">
        <is>
          <t>BR-60-002</t>
        </is>
      </c>
      <c r="C193" s="103" t="inlineStr">
        <is>
          <t>CIP concrete bridge 15-25m span - S+I</t>
        </is>
      </c>
      <c r="D193" s="95" t="inlineStr">
        <is>
          <t>m2 deck</t>
        </is>
      </c>
      <c r="E193" s="104" t="n">
        <v>0</v>
      </c>
      <c r="F193" s="105">
        <f>'01 Rate Schedule'!Y189</f>
        <v/>
      </c>
      <c r="G193" s="106">
        <f>IF(ISNUMBER(F193),E193*F193,0)</f>
        <v/>
      </c>
      <c r="H193" s="107" t="n">
        <v>0</v>
      </c>
      <c r="I193" s="106">
        <f>E193*H193</f>
        <v/>
      </c>
      <c r="J193" s="108">
        <f>IF(AND(ISNUMBER(F193),F193&gt;0,ISNUMBER(H193),H193&gt;0),(H193-F193)/F193,"")</f>
        <v/>
      </c>
    </row>
    <row r="194" ht="15" customHeight="1" s="56">
      <c r="B194" s="95" t="inlineStr">
        <is>
          <t>BR-60-003</t>
        </is>
      </c>
      <c r="C194" s="103" t="inlineStr">
        <is>
          <t>Mine haul road bridge 30-50m - S+I</t>
        </is>
      </c>
      <c r="D194" s="95" t="inlineStr">
        <is>
          <t>m2 deck</t>
        </is>
      </c>
      <c r="E194" s="104" t="n">
        <v>0</v>
      </c>
      <c r="F194" s="105">
        <f>'01 Rate Schedule'!Y190</f>
        <v/>
      </c>
      <c r="G194" s="106">
        <f>IF(ISNUMBER(F194),E194*F194,0)</f>
        <v/>
      </c>
      <c r="H194" s="107" t="n">
        <v>0</v>
      </c>
      <c r="I194" s="106">
        <f>E194*H194</f>
        <v/>
      </c>
      <c r="J194" s="108">
        <f>IF(AND(ISNUMBER(F194),F194&gt;0,ISNUMBER(H194),H194&gt;0),(H194-F194)/F194,"")</f>
        <v/>
      </c>
    </row>
    <row r="195" ht="15" customHeight="1" s="56">
      <c r="B195" s="95" t="inlineStr">
        <is>
          <t>BR-60-001</t>
        </is>
      </c>
      <c r="C195" s="103" t="inlineStr">
        <is>
          <t>Modular steel bridge ≤20m span - S+I</t>
        </is>
      </c>
      <c r="D195" s="95" t="inlineStr">
        <is>
          <t>ea</t>
        </is>
      </c>
      <c r="E195" s="104" t="n">
        <v>0</v>
      </c>
      <c r="F195" s="105">
        <f>'01 Rate Schedule'!Y191</f>
        <v/>
      </c>
      <c r="G195" s="106">
        <f>IF(ISNUMBER(F195),E195*F195,0)</f>
        <v/>
      </c>
      <c r="H195" s="107" t="n">
        <v>0</v>
      </c>
      <c r="I195" s="106">
        <f>E195*H195</f>
        <v/>
      </c>
      <c r="J195" s="108">
        <f>IF(AND(ISNUMBER(F195),F195&gt;0,ISNUMBER(H195),H195&gt;0),(H195-F195)/F195,"")</f>
        <v/>
      </c>
    </row>
    <row r="196" ht="18" customHeight="1" s="56">
      <c r="B196" s="102" t="inlineStr">
        <is>
          <t xml:space="preserve">  X. Power Line</t>
        </is>
      </c>
    </row>
    <row r="197" ht="15" customHeight="1" s="56">
      <c r="B197" s="95" t="inlineStr">
        <is>
          <t>EL-70-003</t>
        </is>
      </c>
      <c r="C197" s="103" t="inlineStr">
        <is>
          <t>Distribution pole foundation</t>
        </is>
      </c>
      <c r="D197" s="95" t="inlineStr">
        <is>
          <t>ea</t>
        </is>
      </c>
      <c r="E197" s="104" t="n">
        <v>0</v>
      </c>
      <c r="F197" s="105">
        <f>'01 Rate Schedule'!Y193</f>
        <v/>
      </c>
      <c r="G197" s="106">
        <f>IF(ISNUMBER(F197),E197*F197,0)</f>
        <v/>
      </c>
      <c r="H197" s="107" t="n">
        <v>0</v>
      </c>
      <c r="I197" s="106">
        <f>E197*H197</f>
        <v/>
      </c>
      <c r="J197" s="108">
        <f>IF(AND(ISNUMBER(F197),F197&gt;0,ISNUMBER(H197),H197&gt;0),(H197-F197)/F197,"")</f>
        <v/>
      </c>
    </row>
    <row r="198" ht="15" customHeight="1" s="56">
      <c r="B198" s="95" t="inlineStr">
        <is>
          <t>EL-70-005</t>
        </is>
      </c>
      <c r="C198" s="103" t="inlineStr">
        <is>
          <t>Substation control building slab + foundation</t>
        </is>
      </c>
      <c r="D198" s="95" t="inlineStr">
        <is>
          <t>m2</t>
        </is>
      </c>
      <c r="E198" s="104" t="n">
        <v>0</v>
      </c>
      <c r="F198" s="105">
        <f>'01 Rate Schedule'!Y194</f>
        <v/>
      </c>
      <c r="G198" s="106">
        <f>IF(ISNUMBER(F198),E198*F198,0)</f>
        <v/>
      </c>
      <c r="H198" s="107" t="n">
        <v>0</v>
      </c>
      <c r="I198" s="106">
        <f>E198*H198</f>
        <v/>
      </c>
      <c r="J198" s="108">
        <f>IF(AND(ISNUMBER(F198),F198&gt;0,ISNUMBER(H198),H198&gt;0),(H198-F198)/F198,"")</f>
        <v/>
      </c>
    </row>
    <row r="199" ht="15" customHeight="1" s="56">
      <c r="B199" s="95" t="inlineStr">
        <is>
          <t>EL-70-006</t>
        </is>
      </c>
      <c r="C199" s="103" t="inlineStr">
        <is>
          <t>Substation grounding grid - copper mat</t>
        </is>
      </c>
      <c r="D199" s="95" t="inlineStr">
        <is>
          <t>m2</t>
        </is>
      </c>
      <c r="E199" s="104" t="n">
        <v>0</v>
      </c>
      <c r="F199" s="105">
        <f>'01 Rate Schedule'!Y195</f>
        <v/>
      </c>
      <c r="G199" s="106">
        <f>IF(ISNUMBER(F199),E199*F199,0)</f>
        <v/>
      </c>
      <c r="H199" s="107" t="n">
        <v>0</v>
      </c>
      <c r="I199" s="106">
        <f>E199*H199</f>
        <v/>
      </c>
      <c r="J199" s="108">
        <f>IF(AND(ISNUMBER(F199),F199&gt;0,ISNUMBER(H199),H199&gt;0),(H199-F199)/F199,"")</f>
        <v/>
      </c>
    </row>
    <row r="200" ht="15" customHeight="1" s="56">
      <c r="B200" s="95" t="inlineStr">
        <is>
          <t>EL-70-004</t>
        </is>
      </c>
      <c r="C200" s="103" t="inlineStr">
        <is>
          <t>Substation pad - granular + crushed surface</t>
        </is>
      </c>
      <c r="D200" s="95" t="inlineStr">
        <is>
          <t>m2</t>
        </is>
      </c>
      <c r="E200" s="104" t="n">
        <v>0</v>
      </c>
      <c r="F200" s="105">
        <f>'01 Rate Schedule'!Y196</f>
        <v/>
      </c>
      <c r="G200" s="106">
        <f>IF(ISNUMBER(F200),E200*F200,0)</f>
        <v/>
      </c>
      <c r="H200" s="107" t="n">
        <v>0</v>
      </c>
      <c r="I200" s="106">
        <f>E200*H200</f>
        <v/>
      </c>
      <c r="J200" s="108">
        <f>IF(AND(ISNUMBER(F200),F200&gt;0,ISNUMBER(H200),H200&gt;0),(H200-F200)/F200,"")</f>
        <v/>
      </c>
    </row>
    <row r="201" ht="15" customHeight="1" s="56">
      <c r="B201" s="95" t="inlineStr">
        <is>
          <t>EL-70-001</t>
        </is>
      </c>
      <c r="C201" s="103" t="inlineStr">
        <is>
          <t>Tower foundation 138 kV - pier</t>
        </is>
      </c>
      <c r="D201" s="95" t="inlineStr">
        <is>
          <t>ea</t>
        </is>
      </c>
      <c r="E201" s="104" t="n">
        <v>0</v>
      </c>
      <c r="F201" s="105">
        <f>'01 Rate Schedule'!Y197</f>
        <v/>
      </c>
      <c r="G201" s="106">
        <f>IF(ISNUMBER(F201),E201*F201,0)</f>
        <v/>
      </c>
      <c r="H201" s="107" t="n">
        <v>0</v>
      </c>
      <c r="I201" s="106">
        <f>E201*H201</f>
        <v/>
      </c>
      <c r="J201" s="108">
        <f>IF(AND(ISNUMBER(F201),F201&gt;0,ISNUMBER(H201),H201&gt;0),(H201-F201)/F201,"")</f>
        <v/>
      </c>
    </row>
    <row r="202" ht="15" customHeight="1" s="56">
      <c r="B202" s="95" t="inlineStr">
        <is>
          <t>EL-70-002</t>
        </is>
      </c>
      <c r="C202" s="103" t="inlineStr">
        <is>
          <t>Tower foundation 240 kV - pier</t>
        </is>
      </c>
      <c r="D202" s="95" t="inlineStr">
        <is>
          <t>ea</t>
        </is>
      </c>
      <c r="E202" s="104" t="n">
        <v>0</v>
      </c>
      <c r="F202" s="105">
        <f>'01 Rate Schedule'!Y198</f>
        <v/>
      </c>
      <c r="G202" s="106">
        <f>IF(ISNUMBER(F202),E202*F202,0)</f>
        <v/>
      </c>
      <c r="H202" s="107" t="n">
        <v>0</v>
      </c>
      <c r="I202" s="106">
        <f>E202*H202</f>
        <v/>
      </c>
      <c r="J202" s="108">
        <f>IF(AND(ISNUMBER(F202),F202&gt;0,ISNUMBER(H202),H202&gt;0),(H202-F202)/F202,"")</f>
        <v/>
      </c>
    </row>
    <row r="203" ht="15" customHeight="1" s="56">
      <c r="B203" s="95" t="inlineStr">
        <is>
          <t>EL-70-007</t>
        </is>
      </c>
      <c r="C203" s="103" t="inlineStr">
        <is>
          <t>Transmission line ROW clearing 50m per km</t>
        </is>
      </c>
      <c r="D203" s="95" t="inlineStr">
        <is>
          <t>km</t>
        </is>
      </c>
      <c r="E203" s="104" t="n">
        <v>0</v>
      </c>
      <c r="F203" s="105">
        <f>'01 Rate Schedule'!Y199</f>
        <v/>
      </c>
      <c r="G203" s="106">
        <f>IF(ISNUMBER(F203),E203*F203,0)</f>
        <v/>
      </c>
      <c r="H203" s="107" t="n">
        <v>0</v>
      </c>
      <c r="I203" s="106">
        <f>E203*H203</f>
        <v/>
      </c>
      <c r="J203" s="108">
        <f>IF(AND(ISNUMBER(F203),F203&gt;0,ISNUMBER(H203),H203&gt;0),(H203-F203)/F203,"")</f>
        <v/>
      </c>
    </row>
    <row r="204" ht="18" customHeight="1" s="56">
      <c r="B204" s="102" t="inlineStr">
        <is>
          <t xml:space="preserve">  Y. Hydraulic</t>
        </is>
      </c>
    </row>
    <row r="205" ht="15" customHeight="1" s="56">
      <c r="B205" s="95" t="inlineStr">
        <is>
          <t>HY-80-001</t>
        </is>
      </c>
      <c r="C205" s="103" t="inlineStr">
        <is>
          <t>Diversion channel excavation common soil - trapezoidal</t>
        </is>
      </c>
      <c r="D205" s="95" t="inlineStr">
        <is>
          <t>m3</t>
        </is>
      </c>
      <c r="E205" s="104" t="n">
        <v>0</v>
      </c>
      <c r="F205" s="105">
        <f>'01 Rate Schedule'!Y201</f>
        <v/>
      </c>
      <c r="G205" s="106">
        <f>IF(ISNUMBER(F205),E205*F205,0)</f>
        <v/>
      </c>
      <c r="H205" s="107" t="n">
        <v>0</v>
      </c>
      <c r="I205" s="106">
        <f>E205*H205</f>
        <v/>
      </c>
      <c r="J205" s="108">
        <f>IF(AND(ISNUMBER(F205),F205&gt;0,ISNUMBER(H205),H205&gt;0),(H205-F205)/F205,"")</f>
        <v/>
      </c>
    </row>
    <row r="206" ht="15" customHeight="1" s="56">
      <c r="B206" s="95" t="inlineStr">
        <is>
          <t>HY-80-002</t>
        </is>
      </c>
      <c r="C206" s="103" t="inlineStr">
        <is>
          <t>Diversion channel - riprap D50 150mm lining</t>
        </is>
      </c>
      <c r="D206" s="95" t="inlineStr">
        <is>
          <t>m3</t>
        </is>
      </c>
      <c r="E206" s="104" t="n">
        <v>0</v>
      </c>
      <c r="F206" s="105">
        <f>'01 Rate Schedule'!Y202</f>
        <v/>
      </c>
      <c r="G206" s="106">
        <f>IF(ISNUMBER(F206),E206*F206,0)</f>
        <v/>
      </c>
      <c r="H206" s="107" t="n">
        <v>0</v>
      </c>
      <c r="I206" s="106">
        <f>E206*H206</f>
        <v/>
      </c>
      <c r="J206" s="108">
        <f>IF(AND(ISNUMBER(F206),F206&gt;0,ISNUMBER(H206),H206&gt;0),(H206-F206)/F206,"")</f>
        <v/>
      </c>
    </row>
    <row r="207" ht="15" customHeight="1" s="56">
      <c r="B207" s="95" t="inlineStr">
        <is>
          <t>HY-80-003</t>
        </is>
      </c>
      <c r="C207" s="103" t="inlineStr">
        <is>
          <t>Diversion channel - riprap D50 300mm lining</t>
        </is>
      </c>
      <c r="D207" s="95" t="inlineStr">
        <is>
          <t>m3</t>
        </is>
      </c>
      <c r="E207" s="104" t="n">
        <v>0</v>
      </c>
      <c r="F207" s="105">
        <f>'01 Rate Schedule'!Y203</f>
        <v/>
      </c>
      <c r="G207" s="106">
        <f>IF(ISNUMBER(F207),E207*F207,0)</f>
        <v/>
      </c>
      <c r="H207" s="107" t="n">
        <v>0</v>
      </c>
      <c r="I207" s="106">
        <f>E207*H207</f>
        <v/>
      </c>
      <c r="J207" s="108">
        <f>IF(AND(ISNUMBER(F207),F207&gt;0,ISNUMBER(H207),H207&gt;0),(H207-F207)/F207,"")</f>
        <v/>
      </c>
    </row>
    <row r="208" ht="15" customHeight="1" s="56">
      <c r="B208" s="95" t="inlineStr">
        <is>
          <t>HY-80-004</t>
        </is>
      </c>
      <c r="C208" s="103" t="inlineStr">
        <is>
          <t>Diversion channel - riprap D50 600mm lining</t>
        </is>
      </c>
      <c r="D208" s="95" t="inlineStr">
        <is>
          <t>m3</t>
        </is>
      </c>
      <c r="E208" s="104" t="n">
        <v>0</v>
      </c>
      <c r="F208" s="105">
        <f>'01 Rate Schedule'!Y204</f>
        <v/>
      </c>
      <c r="G208" s="106">
        <f>IF(ISNUMBER(F208),E208*F208,0)</f>
        <v/>
      </c>
      <c r="H208" s="107" t="n">
        <v>0</v>
      </c>
      <c r="I208" s="106">
        <f>E208*H208</f>
        <v/>
      </c>
      <c r="J208" s="108">
        <f>IF(AND(ISNUMBER(F208),F208&gt;0,ISNUMBER(H208),H208&gt;0),(H208-F208)/F208,"")</f>
        <v/>
      </c>
    </row>
    <row r="209" ht="15" customHeight="1" s="56">
      <c r="B209" s="95" t="inlineStr">
        <is>
          <t>HY-80-009</t>
        </is>
      </c>
      <c r="C209" s="103" t="inlineStr">
        <is>
          <t>Diversion ditch - small unlined common section</t>
        </is>
      </c>
      <c r="D209" s="95" t="inlineStr">
        <is>
          <t>m</t>
        </is>
      </c>
      <c r="E209" s="104" t="n">
        <v>0</v>
      </c>
      <c r="F209" s="105">
        <f>'01 Rate Schedule'!Y205</f>
        <v/>
      </c>
      <c r="G209" s="106">
        <f>IF(ISNUMBER(F209),E209*F209,0)</f>
        <v/>
      </c>
      <c r="H209" s="107" t="n">
        <v>0</v>
      </c>
      <c r="I209" s="106">
        <f>E209*H209</f>
        <v/>
      </c>
      <c r="J209" s="108">
        <f>IF(AND(ISNUMBER(F209),F209&gt;0,ISNUMBER(H209),H209&gt;0),(H209-F209)/F209,"")</f>
        <v/>
      </c>
    </row>
    <row r="210" ht="15" customHeight="1" s="56">
      <c r="B210" s="95" t="inlineStr">
        <is>
          <t>HY-80-007</t>
        </is>
      </c>
      <c r="C210" s="103" t="inlineStr">
        <is>
          <t>Diversion inlet - concrete + trash rack</t>
        </is>
      </c>
      <c r="D210" s="95" t="inlineStr">
        <is>
          <t>ea</t>
        </is>
      </c>
      <c r="E210" s="104" t="n">
        <v>0</v>
      </c>
      <c r="F210" s="105">
        <f>'01 Rate Schedule'!Y206</f>
        <v/>
      </c>
      <c r="G210" s="106">
        <f>IF(ISNUMBER(F210),E210*F210,0)</f>
        <v/>
      </c>
      <c r="H210" s="107" t="n">
        <v>0</v>
      </c>
      <c r="I210" s="106">
        <f>E210*H210</f>
        <v/>
      </c>
      <c r="J210" s="108">
        <f>IF(AND(ISNUMBER(F210),F210&gt;0,ISNUMBER(H210),H210&gt;0),(H210-F210)/F210,"")</f>
        <v/>
      </c>
    </row>
    <row r="211" ht="15" customHeight="1" s="56">
      <c r="B211" s="95" t="inlineStr">
        <is>
          <t>HY-80-005</t>
        </is>
      </c>
      <c r="C211" s="103" t="inlineStr">
        <is>
          <t>Energy dissipator - concrete chute w/ baffles</t>
        </is>
      </c>
      <c r="D211" s="95" t="inlineStr">
        <is>
          <t>m3</t>
        </is>
      </c>
      <c r="E211" s="104" t="n">
        <v>0</v>
      </c>
      <c r="F211" s="105">
        <f>'01 Rate Schedule'!Y207</f>
        <v/>
      </c>
      <c r="G211" s="106">
        <f>IF(ISNUMBER(F211),E211*F211,0)</f>
        <v/>
      </c>
      <c r="H211" s="107" t="n">
        <v>0</v>
      </c>
      <c r="I211" s="106">
        <f>E211*H211</f>
        <v/>
      </c>
      <c r="J211" s="108">
        <f>IF(AND(ISNUMBER(F211),F211&gt;0,ISNUMBER(H211),H211&gt;0),(H211-F211)/F211,"")</f>
        <v/>
      </c>
    </row>
    <row r="212" ht="15" customHeight="1" s="56">
      <c r="B212" s="95" t="inlineStr">
        <is>
          <t>HY-80-008</t>
        </is>
      </c>
      <c r="C212" s="103" t="inlineStr">
        <is>
          <t>Geotextile underlayer under riprap</t>
        </is>
      </c>
      <c r="D212" s="95" t="inlineStr">
        <is>
          <t>m2</t>
        </is>
      </c>
      <c r="E212" s="104" t="n">
        <v>0</v>
      </c>
      <c r="F212" s="105">
        <f>'01 Rate Schedule'!Y208</f>
        <v/>
      </c>
      <c r="G212" s="106">
        <f>IF(ISNUMBER(F212),E212*F212,0)</f>
        <v/>
      </c>
      <c r="H212" s="107" t="n">
        <v>0</v>
      </c>
      <c r="I212" s="106">
        <f>E212*H212</f>
        <v/>
      </c>
      <c r="J212" s="108">
        <f>IF(AND(ISNUMBER(F212),F212&gt;0,ISNUMBER(H212),H212&gt;0),(H212-F212)/F212,"")</f>
        <v/>
      </c>
    </row>
    <row r="213" ht="15" customHeight="1" s="56">
      <c r="B213" s="95" t="inlineStr">
        <is>
          <t>HY-80-006</t>
        </is>
      </c>
      <c r="C213" s="103" t="inlineStr">
        <is>
          <t>Spillway weir - concrete crest w/ rebar</t>
        </is>
      </c>
      <c r="D213" s="95" t="inlineStr">
        <is>
          <t>m3</t>
        </is>
      </c>
      <c r="E213" s="104" t="n">
        <v>0</v>
      </c>
      <c r="F213" s="105">
        <f>'01 Rate Schedule'!Y209</f>
        <v/>
      </c>
      <c r="G213" s="106">
        <f>IF(ISNUMBER(F213),E213*F213,0)</f>
        <v/>
      </c>
      <c r="H213" s="107" t="n">
        <v>0</v>
      </c>
      <c r="I213" s="106">
        <f>E213*H213</f>
        <v/>
      </c>
      <c r="J213" s="108">
        <f>IF(AND(ISNUMBER(F213),F213&gt;0,ISNUMBER(H213),H213&gt;0),(H213-F213)/F213,"")</f>
        <v/>
      </c>
    </row>
    <row r="215" ht="15" customHeight="1" s="56">
      <c r="B215" s="72" t="inlineStr">
        <is>
          <t>PROJECT TOTAL</t>
        </is>
      </c>
      <c r="C215" s="73" t="n"/>
      <c r="D215" s="73" t="n"/>
      <c r="E215" s="74" t="n"/>
      <c r="F215" s="109" t="n"/>
      <c r="G215" s="110">
        <f>SUM(G9:G214)</f>
        <v/>
      </c>
      <c r="H215" s="109" t="n"/>
      <c r="I215" s="110">
        <f>SUM(I9:I214)</f>
        <v/>
      </c>
      <c r="J215" s="111">
        <f>IF(G215&gt;0,(I215-G215)/G215,"")</f>
        <v/>
      </c>
    </row>
    <row r="217" ht="69.75" customHeight="1" s="56">
      <c r="B217" s="112" t="inlineStr">
        <is>
          <t>USE: (1) Enter project quantities in column E for items in scope. (2) Owner Total at REC (col G) gives owner estimate at Recommended 2026 rate. (3) Paste bidder unit rates in column H. (4) Delta % col J flags: RED at 25%+ over REC, YELLOW 10-25%, BLUE below REC. (5) Sort by Delta % descending to identify highest-impact line items for bidder pushback. (6) PROJECT TOTAL row shows owner estimate vs bidder envelope plus headline delta.</t>
        </is>
      </c>
    </row>
  </sheetData>
  <mergeCells count="32">
    <mergeCell ref="B145:J145"/>
    <mergeCell ref="B101:J101"/>
    <mergeCell ref="B157:J157"/>
    <mergeCell ref="B196:J196"/>
    <mergeCell ref="B168:J168"/>
    <mergeCell ref="B137:J137"/>
    <mergeCell ref="C6:F6"/>
    <mergeCell ref="B217:J217"/>
    <mergeCell ref="B9:J9"/>
    <mergeCell ref="B118:J118"/>
    <mergeCell ref="C5:F5"/>
    <mergeCell ref="B215:E215"/>
    <mergeCell ref="B95:J95"/>
    <mergeCell ref="B204:J204"/>
    <mergeCell ref="B45:J45"/>
    <mergeCell ref="B85:J85"/>
    <mergeCell ref="H5:J5"/>
    <mergeCell ref="B36:J36"/>
    <mergeCell ref="B76:J76"/>
    <mergeCell ref="B126:J126"/>
    <mergeCell ref="B113:J113"/>
    <mergeCell ref="B109:J109"/>
    <mergeCell ref="B54:J54"/>
    <mergeCell ref="B25:J25"/>
    <mergeCell ref="B90:J90"/>
    <mergeCell ref="B3:J3"/>
    <mergeCell ref="B190:J190"/>
    <mergeCell ref="B121:J121"/>
    <mergeCell ref="B180:J180"/>
    <mergeCell ref="B70:J70"/>
    <mergeCell ref="B2:J2"/>
    <mergeCell ref="B130:J130"/>
  </mergeCells>
  <conditionalFormatting sqref="J9:J214">
    <cfRule type="expression" rank="0" priority="2" equalAverage="0" aboveAverage="0" dxfId="5" text="" percent="0" bottom="0">
      <formula>AND(ISNUMBER(J9),J9&gt;=0.25)</formula>
    </cfRule>
    <cfRule type="expression" rank="0" priority="3" equalAverage="0" aboveAverage="0" dxfId="6" text="" percent="0" bottom="0">
      <formula>AND(ISNUMBER(J9),J9&gt;=0.1,J9&lt;0.25)</formula>
    </cfRule>
    <cfRule type="expression" rank="0" priority="4" equalAverage="0" aboveAverage="0" dxfId="7" text="" percent="0" bottom="0">
      <formula>AND(ISNUMBER(J9),J9&lt;=-0.1)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2:H4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12" customWidth="1" style="55" min="2" max="2"/>
    <col width="45" customWidth="1" style="55" min="3" max="3"/>
    <col width="8" customWidth="1" style="55" min="4" max="4"/>
    <col width="13" customWidth="1" style="55" min="5" max="5"/>
    <col width="12" customWidth="1" style="55" min="6" max="7"/>
    <col width="30" customWidth="1" style="55" min="8" max="8"/>
  </cols>
  <sheetData>
    <row r="2" ht="24" customHeight="1" s="56">
      <c r="B2" s="113" t="inlineStr">
        <is>
          <t>DATA INTEGRITY QC - Rates Flagged for Source Review</t>
        </is>
      </c>
    </row>
    <row r="3" ht="54.75" customHeight="1" s="56">
      <c r="B3" s="98" t="inlineStr">
        <is>
          <t>Rates where GHD anchor or Bidder Med disagrees with Recommended by more than 100% - typically indicates unit-of-measure mismatch or scope misalignment between sources. These are the items to review BEFORE issuing this benchmark externally. Once UOM/scope is reconciled, either the Recommended rate stays as-is (the bidder/GHD source priced different scope) or the Recommended rate is revised.</t>
        </is>
      </c>
    </row>
    <row r="5" ht="28.35" customHeight="1" s="56">
      <c r="B5" s="72" t="inlineStr">
        <is>
          <t>Code</t>
        </is>
      </c>
      <c r="C5" s="72" t="inlineStr">
        <is>
          <t>Description</t>
        </is>
      </c>
      <c r="D5" s="72" t="inlineStr">
        <is>
          <t>UOM</t>
        </is>
      </c>
      <c r="E5" s="72" t="inlineStr">
        <is>
          <t>Recommended</t>
        </is>
      </c>
      <c r="F5" s="72" t="inlineStr">
        <is>
          <t>GHD Δ %</t>
        </is>
      </c>
      <c r="G5" s="72" t="inlineStr">
        <is>
          <t>Bidder Δ %</t>
        </is>
      </c>
      <c r="H5" s="72" t="inlineStr">
        <is>
          <t>Likely Issue</t>
        </is>
      </c>
    </row>
    <row r="6" ht="23.85" customHeight="1" s="56">
      <c r="B6" s="95" t="inlineStr">
        <is>
          <t>C-10-003</t>
        </is>
      </c>
      <c r="C6" s="103" t="inlineStr">
        <is>
          <t>Backfill common - spread and compact</t>
        </is>
      </c>
      <c r="D6" s="95" t="inlineStr">
        <is>
          <t>m3</t>
        </is>
      </c>
      <c r="E6" s="105" t="n">
        <v>24</v>
      </c>
      <c r="F6" s="114" t="n">
        <v>2.54166666666667</v>
      </c>
      <c r="G6" s="114" t="n">
        <v>1.16416666666667</v>
      </c>
      <c r="H6" s="88" t="inlineStr">
        <is>
          <t>GHD scope mismatch - verify scope inclusions</t>
        </is>
      </c>
    </row>
    <row r="7" ht="23.85" customHeight="1" s="56">
      <c r="B7" s="95" t="inlineStr">
        <is>
          <t>C-10-016</t>
        </is>
      </c>
      <c r="C7" s="103" t="inlineStr">
        <is>
          <t>Drill and blast holes only - excavation separate</t>
        </is>
      </c>
      <c r="D7" s="95" t="inlineStr">
        <is>
          <t>m3</t>
        </is>
      </c>
      <c r="E7" s="105" t="n">
        <v>51.5</v>
      </c>
      <c r="F7" s="114" t="n">
        <v>286.378640776699</v>
      </c>
      <c r="G7" s="115" t="n">
        <v>-0.7776699029126209</v>
      </c>
      <c r="H7" s="88" t="inlineStr">
        <is>
          <t>GHD likely different UOM (per-hole vs $/m3)</t>
        </is>
      </c>
    </row>
    <row r="8" ht="23.85" customHeight="1" s="56">
      <c r="B8" s="95" t="inlineStr">
        <is>
          <t>C-20-008</t>
        </is>
      </c>
      <c r="C8" s="103" t="inlineStr">
        <is>
          <t>Silt fence heavy duty - supply+install</t>
        </is>
      </c>
      <c r="D8" s="95" t="inlineStr">
        <is>
          <t>m</t>
        </is>
      </c>
      <c r="E8" s="105" t="n">
        <v>22.5</v>
      </c>
      <c r="F8" s="114" t="n">
        <v>1.22222222222222</v>
      </c>
      <c r="G8" s="114" t="n">
        <v>443.444444444445</v>
      </c>
      <c r="H8" s="88" t="inlineStr">
        <is>
          <t>GHD scope mismatch - verify scope inclusions</t>
        </is>
      </c>
    </row>
    <row r="9" ht="15" customHeight="1" s="56">
      <c r="B9" s="95" t="inlineStr">
        <is>
          <t>C-20-009</t>
        </is>
      </c>
      <c r="C9" s="103" t="inlineStr">
        <is>
          <t>Straw bale flow check dam - supply+install</t>
        </is>
      </c>
      <c r="D9" s="95" t="inlineStr">
        <is>
          <t>m</t>
        </is>
      </c>
      <c r="E9" s="105" t="n">
        <v>26</v>
      </c>
      <c r="F9" s="115" t="n">
        <v>-0.0563692307692307</v>
      </c>
      <c r="G9" s="114" t="n">
        <v>383.615384615385</v>
      </c>
      <c r="H9" s="88" t="inlineStr">
        <is>
          <t>Bidder priced different scope - clarify</t>
        </is>
      </c>
    </row>
    <row r="10" ht="23.85" customHeight="1" s="56">
      <c r="B10" s="95" t="inlineStr">
        <is>
          <t>C-20-011</t>
        </is>
      </c>
      <c r="C10" s="103" t="inlineStr">
        <is>
          <t>Temp pump diesel submersible 8-wk rental</t>
        </is>
      </c>
      <c r="D10" s="95" t="inlineStr">
        <is>
          <t>ea</t>
        </is>
      </c>
      <c r="E10" s="105" t="n">
        <v>8145</v>
      </c>
      <c r="F10" s="114" t="n">
        <v>7.66943475729237</v>
      </c>
      <c r="G10" s="116" t="inlineStr">
        <is>
          <t>-</t>
        </is>
      </c>
      <c r="H10" s="88" t="inlineStr">
        <is>
          <t>GHD likely different UOM (per-hole vs $/m3)</t>
        </is>
      </c>
    </row>
    <row r="11" ht="23.85" customHeight="1" s="56">
      <c r="B11" s="95" t="inlineStr">
        <is>
          <t>C-30-007</t>
        </is>
      </c>
      <c r="C11" s="103" t="inlineStr">
        <is>
          <t>Equipment pad concrete 300mm slab on grade</t>
        </is>
      </c>
      <c r="D11" s="95" t="inlineStr">
        <is>
          <t>m2</t>
        </is>
      </c>
      <c r="E11" s="105" t="n">
        <v>216.5</v>
      </c>
      <c r="F11" s="114" t="n">
        <v>3.37449625623305</v>
      </c>
      <c r="G11" s="114" t="n">
        <v>62.1003233256351</v>
      </c>
      <c r="H11" s="88" t="inlineStr">
        <is>
          <t>GHD scope mismatch - verify scope inclusions</t>
        </is>
      </c>
    </row>
    <row r="12" ht="23.85" customHeight="1" s="56">
      <c r="B12" s="95" t="inlineStr">
        <is>
          <t>C-30-004</t>
        </is>
      </c>
      <c r="C12" s="103" t="inlineStr">
        <is>
          <t>Granular surface course 150mm - supply+place</t>
        </is>
      </c>
      <c r="D12" s="95" t="inlineStr">
        <is>
          <t>m2</t>
        </is>
      </c>
      <c r="E12" s="105" t="n">
        <v>26</v>
      </c>
      <c r="F12" s="114" t="n">
        <v>37.4615384615385</v>
      </c>
      <c r="G12" s="115" t="n">
        <v>0.801153846153846</v>
      </c>
      <c r="H12" s="88" t="inlineStr">
        <is>
          <t>GHD likely different UOM (per-hole vs $/m3)</t>
        </is>
      </c>
    </row>
    <row r="13" ht="23.85" customHeight="1" s="56">
      <c r="B13" s="95" t="inlineStr">
        <is>
          <t>C-40-008</t>
        </is>
      </c>
      <c r="C13" s="103" t="inlineStr">
        <is>
          <t>Protective cover soil over liner - place+compact</t>
        </is>
      </c>
      <c r="D13" s="95" t="inlineStr">
        <is>
          <t>m3</t>
        </is>
      </c>
      <c r="E13" s="105" t="n">
        <v>36</v>
      </c>
      <c r="F13" s="114" t="n">
        <v>1421.97670107963</v>
      </c>
      <c r="G13" s="115" t="n">
        <v>0.145833333333333</v>
      </c>
      <c r="H13" s="88" t="inlineStr">
        <is>
          <t>GHD likely different UOM (per-hole vs $/m3)</t>
        </is>
      </c>
    </row>
    <row r="14" ht="15" customHeight="1" s="56">
      <c r="B14" s="95" t="inlineStr">
        <is>
          <t>C-50-016</t>
        </is>
      </c>
      <c r="C14" s="103" t="inlineStr">
        <is>
          <t>Discharge trench clear stone - supply+place</t>
        </is>
      </c>
      <c r="D14" s="95" t="inlineStr">
        <is>
          <t>m3</t>
        </is>
      </c>
      <c r="E14" s="105" t="n">
        <v>148.5</v>
      </c>
      <c r="F14" s="115" t="n">
        <v>-0.14997037037037</v>
      </c>
      <c r="G14" s="114" t="n">
        <v>1.7946127946128</v>
      </c>
      <c r="H14" s="88" t="inlineStr">
        <is>
          <t>Bidder scope likely different - verify</t>
        </is>
      </c>
    </row>
    <row r="15" ht="23.85" customHeight="1" s="56">
      <c r="B15" s="95" t="inlineStr">
        <is>
          <t>C-50-010</t>
        </is>
      </c>
      <c r="C15" s="103" t="inlineStr">
        <is>
          <t>HDPE 100mm DR11 buried - excav+install+BF</t>
        </is>
      </c>
      <c r="D15" s="95" t="inlineStr">
        <is>
          <t>m</t>
        </is>
      </c>
      <c r="E15" s="105" t="n">
        <v>340.5</v>
      </c>
      <c r="F15" s="114" t="n">
        <v>278.484898678414</v>
      </c>
      <c r="G15" s="115" t="n">
        <v>0.00399412628487522</v>
      </c>
      <c r="H15" s="88" t="inlineStr">
        <is>
          <t>GHD likely different UOM (per-hole vs $/m3)</t>
        </is>
      </c>
    </row>
    <row r="16" ht="15" customHeight="1" s="56">
      <c r="B16" s="95" t="inlineStr">
        <is>
          <t>C-50-011</t>
        </is>
      </c>
      <c r="C16" s="103" t="inlineStr">
        <is>
          <t>HDPE 150mm DR11 above grade + insulation</t>
        </is>
      </c>
      <c r="D16" s="95" t="inlineStr">
        <is>
          <t>m</t>
        </is>
      </c>
      <c r="E16" s="105" t="n">
        <v>278.5</v>
      </c>
      <c r="F16" s="115" t="n">
        <v>0.0169766606822262</v>
      </c>
      <c r="G16" s="114" t="n">
        <v>1.38122082585278</v>
      </c>
      <c r="H16" s="88" t="inlineStr">
        <is>
          <t>Bidder scope likely different - verify</t>
        </is>
      </c>
    </row>
    <row r="17" ht="15" customHeight="1" s="56">
      <c r="B17" s="95" t="inlineStr">
        <is>
          <t>C-50-012</t>
        </is>
      </c>
      <c r="C17" s="103" t="inlineStr">
        <is>
          <t>HDPE 200mm DR11 above grade + insulation</t>
        </is>
      </c>
      <c r="D17" s="95" t="inlineStr">
        <is>
          <t>m</t>
        </is>
      </c>
      <c r="E17" s="105" t="n">
        <v>324</v>
      </c>
      <c r="F17" s="115" t="n">
        <v>-0.12583950617284</v>
      </c>
      <c r="G17" s="114" t="n">
        <v>1.04682098765432</v>
      </c>
      <c r="H17" s="88" t="inlineStr">
        <is>
          <t>Bidder scope likely different - verify</t>
        </is>
      </c>
    </row>
    <row r="18" ht="15" customHeight="1" s="56">
      <c r="B18" s="95" t="inlineStr">
        <is>
          <t>C-50-013</t>
        </is>
      </c>
      <c r="C18" s="103" t="inlineStr">
        <is>
          <t>HDPE 600mm DR17 above grade + insulation</t>
        </is>
      </c>
      <c r="D18" s="95" t="inlineStr">
        <is>
          <t>m</t>
        </is>
      </c>
      <c r="E18" s="105" t="n">
        <v>311.5</v>
      </c>
      <c r="F18" s="115" t="n">
        <v>-0.090760834670947</v>
      </c>
      <c r="G18" s="114" t="n">
        <v>1.12895666131621</v>
      </c>
      <c r="H18" s="88" t="inlineStr">
        <is>
          <t>Bidder scope likely different - verify</t>
        </is>
      </c>
    </row>
    <row r="19" ht="15" customHeight="1" s="56">
      <c r="B19" s="95" t="inlineStr">
        <is>
          <t>C-60-006</t>
        </is>
      </c>
      <c r="C19" s="103" t="inlineStr">
        <is>
          <t>Rebar Grade 400 - supply+install</t>
        </is>
      </c>
      <c r="D19" s="95" t="inlineStr">
        <is>
          <t>tonne</t>
        </is>
      </c>
      <c r="E19" s="105" t="n">
        <v>4820</v>
      </c>
      <c r="F19" s="115" t="n">
        <v>-0.7925311203319499</v>
      </c>
      <c r="G19" s="114" t="n">
        <v>1.0746887966805</v>
      </c>
      <c r="H19" s="88" t="inlineStr">
        <is>
          <t>Bidder scope likely different - verify</t>
        </is>
      </c>
    </row>
    <row r="20" ht="15" customHeight="1" s="56">
      <c r="B20" s="95" t="inlineStr">
        <is>
          <t>C-70-005</t>
        </is>
      </c>
      <c r="C20" s="103" t="inlineStr">
        <is>
          <t>Steel grating 32x4.8mm - supply+install</t>
        </is>
      </c>
      <c r="D20" s="95" t="inlineStr">
        <is>
          <t>m2</t>
        </is>
      </c>
      <c r="E20" s="105" t="n">
        <v>673</v>
      </c>
      <c r="F20" s="115" t="n">
        <v>0.485884101040119</v>
      </c>
      <c r="G20" s="114" t="n">
        <v>13.8588410104012</v>
      </c>
      <c r="H20" s="88" t="inlineStr">
        <is>
          <t>Bidder priced different scope - clarify</t>
        </is>
      </c>
    </row>
    <row r="21" ht="23.85" customHeight="1" s="56">
      <c r="B21" s="95" t="inlineStr">
        <is>
          <t>C-80-002</t>
        </is>
      </c>
      <c r="C21" s="103" t="inlineStr">
        <is>
          <t>Riprap closure cap D50 300mm - supply+place</t>
        </is>
      </c>
      <c r="D21" s="95" t="inlineStr">
        <is>
          <t>m3</t>
        </is>
      </c>
      <c r="E21" s="105" t="n">
        <v>116</v>
      </c>
      <c r="F21" s="114" t="n">
        <v>713.654074736544</v>
      </c>
      <c r="G21" s="115" t="n">
        <v>-0.0798275862068966</v>
      </c>
      <c r="H21" s="88" t="inlineStr">
        <is>
          <t>GHD likely different UOM (per-hole vs $/m3)</t>
        </is>
      </c>
    </row>
    <row r="22" ht="23.85" customHeight="1" s="56">
      <c r="B22" s="95" t="inlineStr">
        <is>
          <t>C-80-004</t>
        </is>
      </c>
      <c r="C22" s="103" t="inlineStr">
        <is>
          <t>Topsoil replacement - spread+seed</t>
        </is>
      </c>
      <c r="D22" s="95" t="inlineStr">
        <is>
          <t>m2</t>
        </is>
      </c>
      <c r="E22" s="105" t="n">
        <v>8</v>
      </c>
      <c r="F22" s="114" t="n">
        <v>3749</v>
      </c>
      <c r="G22" s="116" t="inlineStr">
        <is>
          <t>-</t>
        </is>
      </c>
      <c r="H22" s="88" t="inlineStr">
        <is>
          <t>GHD likely different UOM (per-hole vs $/m3)</t>
        </is>
      </c>
    </row>
    <row r="23" ht="23.85" customHeight="1" s="56">
      <c r="B23" s="95" t="inlineStr">
        <is>
          <t>B-01-002</t>
        </is>
      </c>
      <c r="C23" s="103" t="inlineStr">
        <is>
          <t>Drill blast hole 89-115mm - rotary drill</t>
        </is>
      </c>
      <c r="D23" s="95" t="inlineStr">
        <is>
          <t>m</t>
        </is>
      </c>
      <c r="E23" s="105" t="n">
        <v>34</v>
      </c>
      <c r="F23" s="114" t="n">
        <v>434.294117647059</v>
      </c>
      <c r="G23" s="116" t="inlineStr">
        <is>
          <t>-</t>
        </is>
      </c>
      <c r="H23" s="88" t="inlineStr">
        <is>
          <t>GHD likely different UOM (per-hole vs $/m3)</t>
        </is>
      </c>
    </row>
    <row r="24" ht="23.85" customHeight="1" s="56">
      <c r="B24" s="95" t="inlineStr">
        <is>
          <t>B-01-003</t>
        </is>
      </c>
      <c r="C24" s="103" t="inlineStr">
        <is>
          <t>Rock blasting - drill+charge+blast+clear (all-in)</t>
        </is>
      </c>
      <c r="D24" s="95" t="inlineStr">
        <is>
          <t>m3</t>
        </is>
      </c>
      <c r="E24" s="105" t="n">
        <v>63.5</v>
      </c>
      <c r="F24" s="114" t="n">
        <v>232.070866141732</v>
      </c>
      <c r="G24" s="114" t="n">
        <v>5.81102362204724</v>
      </c>
      <c r="H24" s="88" t="inlineStr">
        <is>
          <t>GHD likely different UOM (per-hole vs $/m3)</t>
        </is>
      </c>
    </row>
    <row r="25" ht="23.85" customHeight="1" s="56">
      <c r="B25" s="95" t="inlineStr">
        <is>
          <t>B-02-004</t>
        </is>
      </c>
      <c r="C25" s="103" t="inlineStr">
        <is>
          <t>Forcemain HDPE 150mm buried - S+I</t>
        </is>
      </c>
      <c r="D25" s="95" t="inlineStr">
        <is>
          <t>m</t>
        </is>
      </c>
      <c r="E25" s="105" t="n">
        <v>355</v>
      </c>
      <c r="F25" s="114" t="n">
        <v>267.069318309859</v>
      </c>
      <c r="G25" s="116" t="inlineStr">
        <is>
          <t>-</t>
        </is>
      </c>
      <c r="H25" s="88" t="inlineStr">
        <is>
          <t>GHD likely different UOM (per-hole vs $/m3)</t>
        </is>
      </c>
    </row>
    <row r="26" ht="23.85" customHeight="1" s="56">
      <c r="B26" s="95" t="inlineStr">
        <is>
          <t>B-02-005</t>
        </is>
      </c>
      <c r="C26" s="103" t="inlineStr">
        <is>
          <t>Forcemain HDPE 200mm buried - S+I</t>
        </is>
      </c>
      <c r="D26" s="95" t="inlineStr">
        <is>
          <t>m</t>
        </is>
      </c>
      <c r="E26" s="105" t="n">
        <v>422</v>
      </c>
      <c r="F26" s="114" t="n">
        <v>224.508549763033</v>
      </c>
      <c r="G26" s="116" t="inlineStr">
        <is>
          <t>-</t>
        </is>
      </c>
      <c r="H26" s="88" t="inlineStr">
        <is>
          <t>GHD likely different UOM (per-hole vs $/m3)</t>
        </is>
      </c>
    </row>
    <row r="27" ht="23.85" customHeight="1" s="56">
      <c r="B27" s="95" t="inlineStr">
        <is>
          <t>B-03-007</t>
        </is>
      </c>
      <c r="C27" s="103" t="inlineStr">
        <is>
          <t>Gate valve 150mm buried - S+I</t>
        </is>
      </c>
      <c r="D27" s="95" t="inlineStr">
        <is>
          <t>ea</t>
        </is>
      </c>
      <c r="E27" s="105" t="n">
        <v>2753</v>
      </c>
      <c r="F27" s="114" t="n">
        <v>147.712249050166</v>
      </c>
      <c r="G27" s="116" t="inlineStr">
        <is>
          <t>-</t>
        </is>
      </c>
      <c r="H27" s="88" t="inlineStr">
        <is>
          <t>GHD likely different UOM (per-hole vs $/m3)</t>
        </is>
      </c>
    </row>
    <row r="28" ht="23.85" customHeight="1" s="56">
      <c r="B28" s="95" t="inlineStr">
        <is>
          <t>B-03-004</t>
        </is>
      </c>
      <c r="C28" s="103" t="inlineStr">
        <is>
          <t>Sanitary sewer PVC 150mm buried - S+I</t>
        </is>
      </c>
      <c r="D28" s="95" t="inlineStr">
        <is>
          <t>m</t>
        </is>
      </c>
      <c r="E28" s="105" t="n">
        <v>432</v>
      </c>
      <c r="F28" s="114" t="n">
        <v>1.68518518518519</v>
      </c>
      <c r="G28" s="116" t="inlineStr">
        <is>
          <t>-</t>
        </is>
      </c>
      <c r="H28" s="88" t="inlineStr">
        <is>
          <t>GHD scope mismatch - verify scope inclusions</t>
        </is>
      </c>
    </row>
    <row r="29" ht="23.85" customHeight="1" s="56">
      <c r="B29" s="95" t="inlineStr">
        <is>
          <t>B-07-005</t>
        </is>
      </c>
      <c r="C29" s="103" t="inlineStr">
        <is>
          <t>Shotcrete with wire mesh 100mm - S+A</t>
        </is>
      </c>
      <c r="D29" s="95" t="inlineStr">
        <is>
          <t>m2</t>
        </is>
      </c>
      <c r="E29" s="105" t="n">
        <v>200</v>
      </c>
      <c r="F29" s="114" t="n">
        <v>36.2177950207936</v>
      </c>
      <c r="G29" s="116" t="inlineStr">
        <is>
          <t>-</t>
        </is>
      </c>
      <c r="H29" s="88" t="inlineStr">
        <is>
          <t>GHD likely different UOM (per-hole vs $/m3)</t>
        </is>
      </c>
    </row>
    <row r="30" ht="23.85" customHeight="1" s="56">
      <c r="B30" s="95" t="inlineStr">
        <is>
          <t>B-07-003</t>
        </is>
      </c>
      <c r="C30" s="103" t="inlineStr">
        <is>
          <t>Wire mesh rockfall protection - supply+pin</t>
        </is>
      </c>
      <c r="D30" s="95" t="inlineStr">
        <is>
          <t>m2</t>
        </is>
      </c>
      <c r="E30" s="105" t="n">
        <v>89.5</v>
      </c>
      <c r="F30" s="114" t="n">
        <v>82.1682570297063</v>
      </c>
      <c r="G30" s="116" t="inlineStr">
        <is>
          <t>-</t>
        </is>
      </c>
      <c r="H30" s="88" t="inlineStr">
        <is>
          <t>GHD likely different UOM (per-hole vs $/m3)</t>
        </is>
      </c>
    </row>
    <row r="31" ht="23.85" customHeight="1" s="56">
      <c r="B31" s="95" t="inlineStr">
        <is>
          <t>U-10-012</t>
        </is>
      </c>
      <c r="C31" s="103" t="inlineStr">
        <is>
          <t>Stope backfill - paste fill placement</t>
        </is>
      </c>
      <c r="D31" s="95" t="inlineStr">
        <is>
          <t>m3</t>
        </is>
      </c>
      <c r="E31" s="105" t="n">
        <v>68.5</v>
      </c>
      <c r="F31" s="114" t="n">
        <v>3.98613138686131</v>
      </c>
      <c r="G31" s="115" t="n">
        <v>-0.630948905109489</v>
      </c>
      <c r="H31" s="88" t="inlineStr">
        <is>
          <t>GHD scope mismatch - verify scope inclusions</t>
        </is>
      </c>
    </row>
    <row r="32" ht="23.85" customHeight="1" s="56">
      <c r="B32" s="95" t="inlineStr">
        <is>
          <t>T-20-012</t>
        </is>
      </c>
      <c r="C32" s="103" t="inlineStr">
        <is>
          <t>Spillway - concrete-lined emergency overflow</t>
        </is>
      </c>
      <c r="D32" s="95" t="inlineStr">
        <is>
          <t>m2</t>
        </is>
      </c>
      <c r="E32" s="105" t="n">
        <v>580.5</v>
      </c>
      <c r="F32" s="114" t="n">
        <v>222.944875107666</v>
      </c>
      <c r="G32" s="115" t="n">
        <v>-0.981567614125754</v>
      </c>
      <c r="H32" s="88" t="inlineStr">
        <is>
          <t>GHD likely different UOM (per-hole vs $/m3)</t>
        </is>
      </c>
    </row>
    <row r="33" ht="15" customHeight="1" s="56">
      <c r="B33" s="95" t="inlineStr">
        <is>
          <t>H-30-006</t>
        </is>
      </c>
      <c r="C33" s="103" t="inlineStr">
        <is>
          <t>Drain rock cover 300mm - supply+place</t>
        </is>
      </c>
      <c r="D33" s="95" t="inlineStr">
        <is>
          <t>m3</t>
        </is>
      </c>
      <c r="E33" s="105" t="n">
        <v>72.5</v>
      </c>
      <c r="F33" s="115" t="n">
        <v>-0.758620689655172</v>
      </c>
      <c r="G33" s="114" t="n">
        <v>1.01227586206897</v>
      </c>
      <c r="H33" s="88" t="inlineStr">
        <is>
          <t>Bidder scope likely different - verify</t>
        </is>
      </c>
    </row>
    <row r="34" ht="23.85" customHeight="1" s="56">
      <c r="B34" s="95" t="inlineStr">
        <is>
          <t>H-30-001</t>
        </is>
      </c>
      <c r="C34" s="103" t="inlineStr">
        <is>
          <t>Pad sub-grade prep - cut/fill/compact 95% Proctor</t>
        </is>
      </c>
      <c r="D34" s="95" t="inlineStr">
        <is>
          <t>m2</t>
        </is>
      </c>
      <c r="E34" s="105" t="n">
        <v>24.5</v>
      </c>
      <c r="F34" s="114" t="n">
        <v>2.46938775510204</v>
      </c>
      <c r="G34" s="115" t="n">
        <v>-0.897142857142857</v>
      </c>
      <c r="H34" s="88" t="inlineStr">
        <is>
          <t>GHD scope mismatch - verify scope inclusions</t>
        </is>
      </c>
    </row>
    <row r="35" ht="23.85" customHeight="1" s="56">
      <c r="B35" s="95" t="inlineStr">
        <is>
          <t>H-30-009</t>
        </is>
      </c>
      <c r="C35" s="103" t="inlineStr">
        <is>
          <t>Solution piping HDPE 200mm - S+I</t>
        </is>
      </c>
      <c r="D35" s="95" t="inlineStr">
        <is>
          <t>m</t>
        </is>
      </c>
      <c r="E35" s="105" t="n">
        <v>357</v>
      </c>
      <c r="F35" s="114" t="n">
        <v>2.91260504201681</v>
      </c>
      <c r="G35" s="116" t="inlineStr">
        <is>
          <t>-</t>
        </is>
      </c>
      <c r="H35" s="88" t="inlineStr">
        <is>
          <t>GHD scope mismatch - verify scope inclusions</t>
        </is>
      </c>
    </row>
    <row r="36" ht="23.85" customHeight="1" s="56">
      <c r="B36" s="95" t="inlineStr">
        <is>
          <t>P-40-002</t>
        </is>
      </c>
      <c r="C36" s="103" t="inlineStr">
        <is>
          <t>Mill foundation - ball mill</t>
        </is>
      </c>
      <c r="D36" s="95" t="inlineStr">
        <is>
          <t>m3</t>
        </is>
      </c>
      <c r="E36" s="105" t="n">
        <v>2951</v>
      </c>
      <c r="F36" s="114" t="n">
        <v>1805.36790545401</v>
      </c>
      <c r="G36" s="116" t="inlineStr">
        <is>
          <t>-</t>
        </is>
      </c>
      <c r="H36" s="88" t="inlineStr">
        <is>
          <t>GHD likely different UOM (per-hole vs $/m3)</t>
        </is>
      </c>
    </row>
    <row r="37" ht="23.85" customHeight="1" s="56">
      <c r="B37" s="95" t="inlineStr">
        <is>
          <t>P-40-007</t>
        </is>
      </c>
      <c r="C37" s="103" t="inlineStr">
        <is>
          <t>Ore stockpile reclaim tunnel</t>
        </is>
      </c>
      <c r="D37" s="95" t="inlineStr">
        <is>
          <t>m</t>
        </is>
      </c>
      <c r="E37" s="105" t="n">
        <v>24240</v>
      </c>
      <c r="F37" s="114" t="n">
        <v>155.765676567657</v>
      </c>
      <c r="G37" s="116" t="inlineStr">
        <is>
          <t>-</t>
        </is>
      </c>
      <c r="H37" s="88" t="inlineStr">
        <is>
          <t>GHD likely different UOM (per-hole vs $/m3)</t>
        </is>
      </c>
    </row>
    <row r="38" ht="23.85" customHeight="1" s="56">
      <c r="B38" s="95" t="inlineStr">
        <is>
          <t>P-40-003</t>
        </is>
      </c>
      <c r="C38" s="103" t="inlineStr">
        <is>
          <t>Primary crusher foundation - pier+mat</t>
        </is>
      </c>
      <c r="D38" s="95" t="inlineStr">
        <is>
          <t>m3</t>
        </is>
      </c>
      <c r="E38" s="105" t="n">
        <v>3703</v>
      </c>
      <c r="F38" s="114" t="n">
        <v>2024.38482311639</v>
      </c>
      <c r="G38" s="114" t="n">
        <v>230.298946799892</v>
      </c>
      <c r="H38" s="88" t="inlineStr">
        <is>
          <t>GHD likely different UOM (per-hole vs $/m3)</t>
        </is>
      </c>
    </row>
    <row r="39" ht="23.85" customHeight="1" s="56">
      <c r="B39" s="95" t="inlineStr">
        <is>
          <t>P-40-011</t>
        </is>
      </c>
      <c r="C39" s="103" t="inlineStr">
        <is>
          <t>Process building slab on grade 250mm</t>
        </is>
      </c>
      <c r="D39" s="95" t="inlineStr">
        <is>
          <t>m2</t>
        </is>
      </c>
      <c r="E39" s="105" t="n">
        <v>231.5</v>
      </c>
      <c r="F39" s="114" t="n">
        <v>3.0910515744037</v>
      </c>
      <c r="G39" s="116" t="inlineStr">
        <is>
          <t>-</t>
        </is>
      </c>
      <c r="H39" s="88" t="inlineStr">
        <is>
          <t>GHD scope mismatch - verify scope inclusions</t>
        </is>
      </c>
    </row>
    <row r="40" ht="23.85" customHeight="1" s="56">
      <c r="B40" s="95" t="inlineStr">
        <is>
          <t>SP-50-003</t>
        </is>
      </c>
      <c r="C40" s="103" t="inlineStr">
        <is>
          <t>HDPE slurry pipe 250mm SDR 11 - supply</t>
        </is>
      </c>
      <c r="D40" s="95" t="inlineStr">
        <is>
          <t>m</t>
        </is>
      </c>
      <c r="E40" s="105" t="n">
        <v>207.5</v>
      </c>
      <c r="F40" s="114" t="n">
        <v>1.04994319050987</v>
      </c>
      <c r="G40" s="116" t="inlineStr">
        <is>
          <t>-</t>
        </is>
      </c>
      <c r="H40" s="88" t="inlineStr">
        <is>
          <t>GHD scope mismatch - verify scope inclusions</t>
        </is>
      </c>
    </row>
    <row r="41" ht="23.85" customHeight="1" s="56">
      <c r="B41" s="95" t="inlineStr">
        <is>
          <t>EL-70-005</t>
        </is>
      </c>
      <c r="C41" s="103" t="inlineStr">
        <is>
          <t>Substation control building slab + foundation</t>
        </is>
      </c>
      <c r="D41" s="95" t="inlineStr">
        <is>
          <t>m2</t>
        </is>
      </c>
      <c r="E41" s="105" t="n">
        <v>355</v>
      </c>
      <c r="F41" s="114" t="n">
        <v>4224.35211267606</v>
      </c>
      <c r="G41" s="116" t="inlineStr">
        <is>
          <t>-</t>
        </is>
      </c>
      <c r="H41" s="88" t="inlineStr">
        <is>
          <t>GHD likely different UOM (per-hole vs $/m3)</t>
        </is>
      </c>
    </row>
    <row r="43" ht="60" customHeight="1" s="56">
      <c r="B43" s="112" t="inlineStr">
        <is>
          <t>TOTAL FLAGGED: 36 rates. ACTION: Before issuing this benchmark externally with a tender package, review these line items for UOM/scope alignment. Once verified, either confirm the Recommended rate stays right (bidder/GHD scope is different) or revise the Recommended rate. The benchmark gets stronger every project as scope mismatches are resolved.</t>
        </is>
      </c>
    </row>
  </sheetData>
  <mergeCells count="3">
    <mergeCell ref="B3:H3"/>
    <mergeCell ref="B2:H2"/>
    <mergeCell ref="B43:H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2026-05-18T17:21:02Z</dcterms:created>
  <dcterms:modified xmlns:dcterms="http://purl.org/dc/terms/" xmlns:xsi="http://www.w3.org/2001/XMLSchema-instance" xsi:type="dcterms:W3CDTF">2026-05-18T17:50:45Z</dcterms:modified>
  <cp:revision>0</cp:revision>
</cp:coreProperties>
</file>